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tings" sheetId="3" state="visible" r:id="rId3"/>
    <sheet name="Agent 1 Scorecard" sheetId="4" state="visible" r:id="rId4"/>
    <sheet name="Agent 1 Assessment" sheetId="5" state="visible" r:id="rId5"/>
    <sheet name="Agent 2 Scorecard" sheetId="6" state="visible" r:id="rId6"/>
    <sheet name="Agent 2 Assessment" sheetId="7" state="visible" r:id="rId7"/>
    <sheet name="Agent 3 Scorecard" sheetId="8" state="visible" r:id="rId8"/>
    <sheet name="Agent 3 Assessment" sheetId="9" state="visible" r:id="rId9"/>
    <sheet name="Agent 4 Scorecard" sheetId="10" state="visible" r:id="rId10"/>
    <sheet name="Agent 4 Assessment" sheetId="11" state="visible" r:id="rId11"/>
    <sheet name="Agent 5 Scorecard" sheetId="12" state="visible" r:id="rId12"/>
    <sheet name="Agent 5 Assessment" sheetId="13" state="visible" r:id="rId13"/>
    <sheet name="Agent 6 Scorecard" sheetId="14" state="visible" r:id="rId14"/>
    <sheet name="Agent 6 Assessment" sheetId="15" state="visible" r:id="rId15"/>
    <sheet name="Agent 7 Scorecard" sheetId="16" state="visible" r:id="rId16"/>
    <sheet name="Agent 7 Assessmen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"/>
    <numFmt numFmtId="166" formatCode="yyyy-mm-dd"/>
    <numFmt numFmtId="167" formatCode="mmm d, yyyy"/>
    <numFmt numFmtId="168" formatCode="mmm d, h:mm am/pm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A5F"/>
      <sz val="12"/>
    </font>
    <font>
      <name val="Arial"/>
      <b val="1"/>
      <sz val="10"/>
    </font>
    <font>
      <name val="Arial"/>
      <sz val="10"/>
    </font>
    <font>
      <name val="Arial"/>
      <i val="1"/>
      <color rgb="006B7280"/>
      <sz val="9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BEA"/>
      </patternFill>
    </fill>
    <fill>
      <patternFill patternType="solid">
        <fgColor rgb="00F3F4F6"/>
      </patternFill>
    </fill>
    <fill>
      <patternFill patternType="solid">
        <fgColor rgb="00EEF2F7"/>
      </patternFill>
    </fill>
    <fill>
      <patternFill patternType="solid">
        <fgColor rgb="00C9A22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 indent="1"/>
    </xf>
    <xf numFmtId="167" fontId="3" fillId="3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indent="1"/>
    </xf>
    <xf numFmtId="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 indent="1"/>
    </xf>
    <xf numFmtId="9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8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3" fillId="6" borderId="0" pivotButton="0" quotePrefix="0" xfId="0"/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6" fillId="6" borderId="0" applyAlignment="1" pivotButton="0" quotePrefix="0" xfId="0">
      <alignment vertical="center" indent="1"/>
    </xf>
    <xf numFmtId="0" fontId="0" fillId="0" borderId="4" pivotButton="0" quotePrefix="0" xfId="0"/>
    <xf numFmtId="1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indent="1"/>
    </xf>
    <xf numFmtId="0" fontId="0" fillId="0" borderId="1" applyAlignment="1" pivotButton="0" quotePrefix="0" xfId="0">
      <alignment indent="1"/>
    </xf>
    <xf numFmtId="167" fontId="3" fillId="5" borderId="1" pivotButton="0" quotePrefix="0" xfId="0"/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8" fontId="5" fillId="4" borderId="1" pivotButton="0" quotePrefix="0" xfId="0"/>
    <xf numFmtId="0" fontId="3" fillId="0" borderId="0" applyAlignment="1" pivotButton="0" quotePrefix="0" xfId="0">
      <alignment horizontal="right"/>
    </xf>
    <xf numFmtId="9" fontId="2" fillId="5" borderId="0" pivotButton="0" quotePrefix="0" xfId="0"/>
    <xf numFmtId="0" fontId="6" fillId="2" borderId="0" applyAlignment="1" pivotButton="0" quotePrefix="0" xfId="0">
      <alignment vertical="center" inden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applyAlignment="1" pivotButton="0" quotePrefix="0" xfId="0">
      <alignment wrapText="1" indent="1"/>
    </xf>
    <xf numFmtId="0" fontId="6" fillId="6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9" fontId="0" fillId="4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top" wrapText="1"/>
    </xf>
    <xf numFmtId="9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b val="1"/>
        <color rgb="00991B1B"/>
      </font>
      <fill>
        <patternFill patternType="solid">
          <fgColor rgb="00FEE2E2"/>
        </patternFill>
      </fill>
    </dxf>
    <dxf>
      <font>
        <color rgb="00065F46"/>
      </font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border>
        <top style="medium">
          <color rgb="00C9A227"/>
        </top>
        <bottom style="medium">
          <color rgb="00C9A227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40" customWidth="1" min="3" max="3"/>
  </cols>
  <sheetData>
    <row r="1" ht="34" customHeight="1">
      <c r="A1" s="1" t="inlineStr">
        <is>
          <t>THE PRAEDIUM GROUP — Agent Score Card</t>
        </is>
      </c>
    </row>
    <row r="3">
      <c r="A3" s="2" t="inlineStr">
        <is>
          <t>HOW THIS WORKS</t>
        </is>
      </c>
    </row>
    <row r="4" ht="30" customHeight="1">
      <c r="A4" s="3" t="inlineStr">
        <is>
          <t>1.</t>
        </is>
      </c>
      <c r="B4" s="4" t="inlineStr">
        <is>
          <t>You have two tabs with your name on them: your Weekly Scorecard and your one-time Assessment.</t>
        </is>
      </c>
    </row>
    <row r="5" ht="30" customHeight="1">
      <c r="A5" s="3" t="inlineStr">
        <is>
          <t>2.</t>
        </is>
      </c>
      <c r="B5" s="4" t="inlineStr">
        <is>
          <t>Complete your Assessment first (target: before our next meeting). Estimates are fine — there are no “right” answers. Your Q4 goals in Section 13 drive the progress tracker on your Scorecard.</t>
        </is>
      </c>
    </row>
    <row r="6" ht="30" customHeight="1">
      <c r="A6" s="3" t="inlineStr">
        <is>
          <t>3.</t>
        </is>
      </c>
      <c r="B6" s="4" t="inlineStr">
        <is>
          <t>Every week, fill in your row on your Scorecard by Friday end of day. It takes about 5 minutes.</t>
        </is>
      </c>
    </row>
    <row r="7" ht="30" customHeight="1">
      <c r="A7" s="3" t="inlineStr">
        <is>
          <t>4.</t>
        </is>
      </c>
      <c r="B7" s="4" t="inlineStr">
        <is>
          <t>You'll get an email reminder each Friday with a direct link to your tab. If last week is still blank on Monday, you'll get a gentle nudge.</t>
        </is>
      </c>
    </row>
    <row r="8" ht="30" customHeight="1">
      <c r="A8" s="3" t="inlineStr">
        <is>
          <t>5.</t>
        </is>
      </c>
      <c r="B8" s="4" t="inlineStr">
        <is>
          <t>Only yellow cells are for you. Gray/blue cells calculate automatically. You can only edit your own tabs.</t>
        </is>
      </c>
    </row>
    <row r="9">
      <c r="A9" s="3" t="inlineStr"/>
      <c r="B9" s="4" t="n"/>
    </row>
    <row r="10">
      <c r="A10" s="2" t="inlineStr">
        <is>
          <t>WHAT TO TRACK EACH WEEK</t>
        </is>
      </c>
    </row>
    <row r="11">
      <c r="A11" s="3" t="inlineStr">
        <is>
          <t>Calls / Outreach</t>
        </is>
      </c>
      <c r="B11" s="4" t="inlineStr">
        <is>
          <t>Every dial, email, text, or door knock aimed at a prospect (owner, tenant, investor).</t>
        </is>
      </c>
    </row>
    <row r="12">
      <c r="A12" s="3" t="inlineStr">
        <is>
          <t>DM Conversations</t>
        </is>
      </c>
      <c r="B12" s="4" t="inlineStr">
        <is>
          <t>Real conversations with a decision maker — not voicemails or gatekeepers.</t>
        </is>
      </c>
    </row>
    <row r="13">
      <c r="A13" s="3" t="inlineStr">
        <is>
          <t>Meetings</t>
        </is>
      </c>
      <c r="B13" s="4" t="inlineStr">
        <is>
          <t>Discovery, listing, buyer/tenant, or prospect meetings held (in person or video).</t>
        </is>
      </c>
    </row>
    <row r="14">
      <c r="A14" s="3" t="inlineStr">
        <is>
          <t>New Opportunities</t>
        </is>
      </c>
      <c r="B14" s="4" t="inlineStr">
        <is>
          <t>A qualified prospect with a real need, timeline, and next step.</t>
        </is>
      </c>
    </row>
    <row r="15">
      <c r="A15" s="3" t="inlineStr">
        <is>
          <t>MC Conversations</t>
        </is>
      </c>
      <c r="B15" s="4" t="inlineStr">
        <is>
          <t>Meaningful conversations with agents in your KW Market Center about commercial.</t>
        </is>
      </c>
    </row>
    <row r="16">
      <c r="A16" s="3" t="inlineStr">
        <is>
          <t>Sphere Touches</t>
        </is>
      </c>
      <c r="B16" s="4" t="inlineStr">
        <is>
          <t>Intentional contacts with attorneys, CPAs, lenders, developers, past clients, etc.</t>
        </is>
      </c>
    </row>
    <row r="17">
      <c r="A17" s="3" t="inlineStr">
        <is>
          <t>Pipeline GCI</t>
        </is>
      </c>
      <c r="B17" s="4" t="inlineStr">
        <is>
          <t>Your best estimate of total potential GCI in your active pipeline at week's end.</t>
        </is>
      </c>
    </row>
    <row r="18">
      <c r="A18" s="3" t="inlineStr"/>
      <c r="B18" s="4" t="n"/>
    </row>
    <row r="19">
      <c r="A19" s="3" t="inlineStr">
        <is>
          <t>QUESTIONS?</t>
        </is>
      </c>
      <c r="B19" s="4" t="inlineStr">
        <is>
          <t>Reach out any time — this is a tool to help you grow, not a report card.</t>
        </is>
      </c>
    </row>
  </sheetData>
  <mergeCells count="16">
    <mergeCell ref="B13:C13"/>
    <mergeCell ref="B6:C6"/>
    <mergeCell ref="B16:C16"/>
    <mergeCell ref="B15:C15"/>
    <mergeCell ref="B7:C7"/>
    <mergeCell ref="A1:C1"/>
    <mergeCell ref="B11:C11"/>
    <mergeCell ref="B5:C5"/>
    <mergeCell ref="B19:C19"/>
    <mergeCell ref="B14:C14"/>
    <mergeCell ref="B17:C17"/>
    <mergeCell ref="B9:C9"/>
    <mergeCell ref="B8:C8"/>
    <mergeCell ref="B4:C4"/>
    <mergeCell ref="B18:C1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W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9" customWidth="1" min="4" max="4"/>
    <col width="10" customWidth="1" min="5" max="5"/>
    <col width="10" customWidth="1" min="6" max="6"/>
    <col width="11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13" customWidth="1" min="13" max="13"/>
    <col width="12" customWidth="1" min="14" max="14"/>
    <col width="12" customWidth="1" min="15" max="15"/>
    <col width="9" customWidth="1" min="16" max="16"/>
    <col width="9" customWidth="1" min="17" max="17"/>
    <col width="10" customWidth="1" min="18" max="18"/>
    <col width="11" customWidth="1" min="19" max="19"/>
    <col width="10" customWidth="1" min="20" max="20"/>
    <col width="16" customWidth="1" min="21" max="21"/>
    <col width="34" customWidth="1" min="22" max="22"/>
    <col width="34" customWidth="1" min="23" max="23"/>
  </cols>
  <sheetData>
    <row r="1" ht="34" customHeight="1">
      <c r="A1" s="1" t="inlineStr">
        <is>
          <t>Team Dashboard — Agent Score Card</t>
        </is>
      </c>
    </row>
    <row r="2" ht="30" customHeight="1">
      <c r="A2" s="5" t="inlineStr">
        <is>
          <t>Owner view. Change the “Week of” date to look at any week (defaults to the current week). Everything on this tab is calculated — agents update their own Scorecard tabs.</t>
        </is>
      </c>
    </row>
    <row r="3">
      <c r="A3" s="3" t="inlineStr">
        <is>
          <t>Week of:</t>
        </is>
      </c>
      <c r="B3" s="6">
        <f>TODAY()-WEEKDAY(TODAY(),3)</f>
        <v/>
      </c>
      <c r="C3" s="7" t="inlineStr">
        <is>
          <t>← type any Monday to review a past week</t>
        </is>
      </c>
    </row>
    <row r="5" ht="40" customHeight="1">
      <c r="A5" s="8" t="inlineStr">
        <is>
          <t>Agent</t>
        </is>
      </c>
      <c r="B5" s="8" t="inlineStr">
        <is>
          <t>Assessment Done</t>
        </is>
      </c>
      <c r="C5" s="8" t="inlineStr">
        <is>
          <t>Week Status</t>
        </is>
      </c>
      <c r="D5" s="8" t="inlineStr">
        <is>
          <t>RE Hours</t>
        </is>
      </c>
      <c r="E5" s="8" t="inlineStr">
        <is>
          <t>Prospecting Hrs</t>
        </is>
      </c>
      <c r="F5" s="8" t="inlineStr">
        <is>
          <t>Calls / Outreach</t>
        </is>
      </c>
      <c r="G5" s="8" t="inlineStr">
        <is>
          <t>DM Conversations</t>
        </is>
      </c>
      <c r="H5" s="8" t="inlineStr">
        <is>
          <t>Meetings</t>
        </is>
      </c>
      <c r="I5" s="8" t="inlineStr">
        <is>
          <t>New Opps</t>
        </is>
      </c>
      <c r="J5" s="8" t="inlineStr">
        <is>
          <t>New DB Contacts</t>
        </is>
      </c>
      <c r="K5" s="8" t="inlineStr">
        <is>
          <t>Follow-Ups Open</t>
        </is>
      </c>
      <c r="L5" s="8" t="inlineStr">
        <is>
          <t>MC Convos</t>
        </is>
      </c>
      <c r="M5" s="8" t="inlineStr">
        <is>
          <t>Pipeline GCI (latest)</t>
        </is>
      </c>
      <c r="N5" s="8" t="inlineStr">
        <is>
          <t>Q4 GCI Closed</t>
        </is>
      </c>
      <c r="O5" s="8" t="inlineStr">
        <is>
          <t>Q4 GCI Goal</t>
        </is>
      </c>
      <c r="P5" s="8" t="inlineStr">
        <is>
          <t>Q4 GCI %</t>
        </is>
      </c>
      <c r="Q5" s="8" t="inlineStr">
        <is>
          <t>Q4 Closings</t>
        </is>
      </c>
      <c r="R5" s="8" t="inlineStr">
        <is>
          <t>Q4 Closing Goal</t>
        </is>
      </c>
      <c r="S5" s="8" t="inlineStr">
        <is>
          <t>Weekly Consistency</t>
        </is>
      </c>
      <c r="T5" s="8" t="inlineStr">
        <is>
          <t>Avg Calls / Wk</t>
        </is>
      </c>
      <c r="U5" s="8" t="inlineStr">
        <is>
          <t>Last Updated</t>
        </is>
      </c>
      <c r="V5" s="8" t="inlineStr">
        <is>
          <t>Win of the Week</t>
        </is>
      </c>
      <c r="W5" s="8" t="inlineStr">
        <is>
          <t>Biggest Obstacle</t>
        </is>
      </c>
    </row>
    <row r="6" ht="36" customHeight="1">
      <c r="A6" s="9">
        <f>IF('Settings'!B14="","Agent 1",'Settings'!B14)</f>
        <v/>
      </c>
      <c r="B6" s="10">
        <f>'Agent 1 Assessment'!C3</f>
        <v/>
      </c>
      <c r="C6" s="11">
        <f>IFERROR(INDEX('Agent 1 Scorecard'!$Z$15:$Z$80,MATCH($B$3,'Agent 1 Scorecard'!$A$15:$A$80,0)),"")</f>
        <v/>
      </c>
      <c r="D6" s="11">
        <f>IFERROR(INDEX('Agent 1 Scorecard'!$C$15:$C$80,MATCH($B$3,'Agent 1 Scorecard'!$A$15:$A$80,0)),"")</f>
        <v/>
      </c>
      <c r="E6" s="11">
        <f>IFERROR(INDEX('Agent 1 Scorecard'!$E$15:$E$80,MATCH($B$3,'Agent 1 Scorecard'!$A$15:$A$80,0)),"")</f>
        <v/>
      </c>
      <c r="F6" s="11">
        <f>IFERROR(INDEX('Agent 1 Scorecard'!$F$15:$F$80,MATCH($B$3,'Agent 1 Scorecard'!$A$15:$A$80,0)),"")</f>
        <v/>
      </c>
      <c r="G6" s="11">
        <f>IFERROR(INDEX('Agent 1 Scorecard'!$G$15:$G$80,MATCH($B$3,'Agent 1 Scorecard'!$A$15:$A$80,0)),"")</f>
        <v/>
      </c>
      <c r="H6" s="11">
        <f>IFERROR(INDEX('Agent 1 Scorecard'!$H$15:$H$80,MATCH($B$3,'Agent 1 Scorecard'!$A$15:$A$80,0)),"")</f>
        <v/>
      </c>
      <c r="I6" s="11">
        <f>IFERROR(INDEX('Agent 1 Scorecard'!$I$15:$I$80,MATCH($B$3,'Agent 1 Scorecard'!$A$15:$A$80,0)),"")</f>
        <v/>
      </c>
      <c r="J6" s="11">
        <f>IFERROR(INDEX('Agent 1 Scorecard'!$J$15:$J$80,MATCH($B$3,'Agent 1 Scorecard'!$A$15:$A$80,0)),"")</f>
        <v/>
      </c>
      <c r="K6" s="11">
        <f>IFERROR(INDEX('Agent 1 Scorecard'!$K$15:$K$80,MATCH($B$3,'Agent 1 Scorecard'!$A$15:$A$80,0)),"")</f>
        <v/>
      </c>
      <c r="L6" s="11">
        <f>IFERROR(INDEX('Agent 1 Scorecard'!$L$15:$L$80,MATCH($B$3,'Agent 1 Scorecard'!$A$15:$A$80,0)),"")</f>
        <v/>
      </c>
      <c r="M6" s="12">
        <f>'Agent 1 Scorecard'!K10</f>
        <v/>
      </c>
      <c r="N6" s="12">
        <f>'Agent 1 Scorecard'!D6</f>
        <v/>
      </c>
      <c r="O6" s="12">
        <f>'Agent 1 Scorecard'!C6</f>
        <v/>
      </c>
      <c r="P6" s="10">
        <f>'Agent 1 Scorecard'!E6</f>
        <v/>
      </c>
      <c r="Q6" s="11">
        <f>'Agent 1 Scorecard'!D8</f>
        <v/>
      </c>
      <c r="R6" s="11">
        <f>'Agent 1 Scorecard'!C8</f>
        <v/>
      </c>
      <c r="S6" s="10">
        <f>'Agent 1 Scorecard'!K7</f>
        <v/>
      </c>
      <c r="T6" s="13">
        <f>'Agent 1 Scorecard'!K8</f>
        <v/>
      </c>
      <c r="U6" s="14">
        <f>IF(MAX('Agent 1 Scorecard'!$Y$15:$Y$80)=0,"",MAX('Agent 1 Scorecard'!$Y$15:$Y$80))</f>
        <v/>
      </c>
      <c r="V6" s="15">
        <f>IFERROR(INDEX('Agent 1 Scorecard'!$V$15:$V$80,MATCH($B$3,'Agent 1 Scorecard'!$A$15:$A$80,0)),"")</f>
        <v/>
      </c>
      <c r="W6" s="15">
        <f>IFERROR(INDEX('Agent 1 Scorecard'!$W$15:$W$80,MATCH($B$3,'Agent 1 Scorecard'!$A$15:$A$80,0)),"")</f>
        <v/>
      </c>
    </row>
    <row r="7" ht="36" customHeight="1">
      <c r="A7" s="16">
        <f>IF('Settings'!B15="","Agent 2",'Settings'!B15)</f>
        <v/>
      </c>
      <c r="B7" s="17">
        <f>'Agent 2 Assessment'!C3</f>
        <v/>
      </c>
      <c r="C7" s="18">
        <f>IFERROR(INDEX('Agent 2 Scorecard'!$Z$15:$Z$80,MATCH($B$3,'Agent 2 Scorecard'!$A$15:$A$80,0)),"")</f>
        <v/>
      </c>
      <c r="D7" s="18">
        <f>IFERROR(INDEX('Agent 2 Scorecard'!$C$15:$C$80,MATCH($B$3,'Agent 2 Scorecard'!$A$15:$A$80,0)),"")</f>
        <v/>
      </c>
      <c r="E7" s="18">
        <f>IFERROR(INDEX('Agent 2 Scorecard'!$E$15:$E$80,MATCH($B$3,'Agent 2 Scorecard'!$A$15:$A$80,0)),"")</f>
        <v/>
      </c>
      <c r="F7" s="18">
        <f>IFERROR(INDEX('Agent 2 Scorecard'!$F$15:$F$80,MATCH($B$3,'Agent 2 Scorecard'!$A$15:$A$80,0)),"")</f>
        <v/>
      </c>
      <c r="G7" s="18">
        <f>IFERROR(INDEX('Agent 2 Scorecard'!$G$15:$G$80,MATCH($B$3,'Agent 2 Scorecard'!$A$15:$A$80,0)),"")</f>
        <v/>
      </c>
      <c r="H7" s="18">
        <f>IFERROR(INDEX('Agent 2 Scorecard'!$H$15:$H$80,MATCH($B$3,'Agent 2 Scorecard'!$A$15:$A$80,0)),"")</f>
        <v/>
      </c>
      <c r="I7" s="18">
        <f>IFERROR(INDEX('Agent 2 Scorecard'!$I$15:$I$80,MATCH($B$3,'Agent 2 Scorecard'!$A$15:$A$80,0)),"")</f>
        <v/>
      </c>
      <c r="J7" s="18">
        <f>IFERROR(INDEX('Agent 2 Scorecard'!$J$15:$J$80,MATCH($B$3,'Agent 2 Scorecard'!$A$15:$A$80,0)),"")</f>
        <v/>
      </c>
      <c r="K7" s="18">
        <f>IFERROR(INDEX('Agent 2 Scorecard'!$K$15:$K$80,MATCH($B$3,'Agent 2 Scorecard'!$A$15:$A$80,0)),"")</f>
        <v/>
      </c>
      <c r="L7" s="18">
        <f>IFERROR(INDEX('Agent 2 Scorecard'!$L$15:$L$80,MATCH($B$3,'Agent 2 Scorecard'!$A$15:$A$80,0)),"")</f>
        <v/>
      </c>
      <c r="M7" s="19">
        <f>'Agent 2 Scorecard'!K10</f>
        <v/>
      </c>
      <c r="N7" s="19">
        <f>'Agent 2 Scorecard'!D6</f>
        <v/>
      </c>
      <c r="O7" s="19">
        <f>'Agent 2 Scorecard'!C6</f>
        <v/>
      </c>
      <c r="P7" s="17">
        <f>'Agent 2 Scorecard'!E6</f>
        <v/>
      </c>
      <c r="Q7" s="18">
        <f>'Agent 2 Scorecard'!D8</f>
        <v/>
      </c>
      <c r="R7" s="18">
        <f>'Agent 2 Scorecard'!C8</f>
        <v/>
      </c>
      <c r="S7" s="17">
        <f>'Agent 2 Scorecard'!K7</f>
        <v/>
      </c>
      <c r="T7" s="20">
        <f>'Agent 2 Scorecard'!K8</f>
        <v/>
      </c>
      <c r="U7" s="21">
        <f>IF(MAX('Agent 2 Scorecard'!$Y$15:$Y$80)=0,"",MAX('Agent 2 Scorecard'!$Y$15:$Y$80))</f>
        <v/>
      </c>
      <c r="V7" s="22">
        <f>IFERROR(INDEX('Agent 2 Scorecard'!$V$15:$V$80,MATCH($B$3,'Agent 2 Scorecard'!$A$15:$A$80,0)),"")</f>
        <v/>
      </c>
      <c r="W7" s="22">
        <f>IFERROR(INDEX('Agent 2 Scorecard'!$W$15:$W$80,MATCH($B$3,'Agent 2 Scorecard'!$A$15:$A$80,0)),"")</f>
        <v/>
      </c>
    </row>
    <row r="8" ht="36" customHeight="1">
      <c r="A8" s="9">
        <f>IF('Settings'!B16="","Agent 3",'Settings'!B16)</f>
        <v/>
      </c>
      <c r="B8" s="10">
        <f>'Agent 3 Assessment'!C3</f>
        <v/>
      </c>
      <c r="C8" s="11">
        <f>IFERROR(INDEX('Agent 3 Scorecard'!$Z$15:$Z$80,MATCH($B$3,'Agent 3 Scorecard'!$A$15:$A$80,0)),"")</f>
        <v/>
      </c>
      <c r="D8" s="11">
        <f>IFERROR(INDEX('Agent 3 Scorecard'!$C$15:$C$80,MATCH($B$3,'Agent 3 Scorecard'!$A$15:$A$80,0)),"")</f>
        <v/>
      </c>
      <c r="E8" s="11">
        <f>IFERROR(INDEX('Agent 3 Scorecard'!$E$15:$E$80,MATCH($B$3,'Agent 3 Scorecard'!$A$15:$A$80,0)),"")</f>
        <v/>
      </c>
      <c r="F8" s="11">
        <f>IFERROR(INDEX('Agent 3 Scorecard'!$F$15:$F$80,MATCH($B$3,'Agent 3 Scorecard'!$A$15:$A$80,0)),"")</f>
        <v/>
      </c>
      <c r="G8" s="11">
        <f>IFERROR(INDEX('Agent 3 Scorecard'!$G$15:$G$80,MATCH($B$3,'Agent 3 Scorecard'!$A$15:$A$80,0)),"")</f>
        <v/>
      </c>
      <c r="H8" s="11">
        <f>IFERROR(INDEX('Agent 3 Scorecard'!$H$15:$H$80,MATCH($B$3,'Agent 3 Scorecard'!$A$15:$A$80,0)),"")</f>
        <v/>
      </c>
      <c r="I8" s="11">
        <f>IFERROR(INDEX('Agent 3 Scorecard'!$I$15:$I$80,MATCH($B$3,'Agent 3 Scorecard'!$A$15:$A$80,0)),"")</f>
        <v/>
      </c>
      <c r="J8" s="11">
        <f>IFERROR(INDEX('Agent 3 Scorecard'!$J$15:$J$80,MATCH($B$3,'Agent 3 Scorecard'!$A$15:$A$80,0)),"")</f>
        <v/>
      </c>
      <c r="K8" s="11">
        <f>IFERROR(INDEX('Agent 3 Scorecard'!$K$15:$K$80,MATCH($B$3,'Agent 3 Scorecard'!$A$15:$A$80,0)),"")</f>
        <v/>
      </c>
      <c r="L8" s="11">
        <f>IFERROR(INDEX('Agent 3 Scorecard'!$L$15:$L$80,MATCH($B$3,'Agent 3 Scorecard'!$A$15:$A$80,0)),"")</f>
        <v/>
      </c>
      <c r="M8" s="12">
        <f>'Agent 3 Scorecard'!K10</f>
        <v/>
      </c>
      <c r="N8" s="12">
        <f>'Agent 3 Scorecard'!D6</f>
        <v/>
      </c>
      <c r="O8" s="12">
        <f>'Agent 3 Scorecard'!C6</f>
        <v/>
      </c>
      <c r="P8" s="10">
        <f>'Agent 3 Scorecard'!E6</f>
        <v/>
      </c>
      <c r="Q8" s="11">
        <f>'Agent 3 Scorecard'!D8</f>
        <v/>
      </c>
      <c r="R8" s="11">
        <f>'Agent 3 Scorecard'!C8</f>
        <v/>
      </c>
      <c r="S8" s="10">
        <f>'Agent 3 Scorecard'!K7</f>
        <v/>
      </c>
      <c r="T8" s="13">
        <f>'Agent 3 Scorecard'!K8</f>
        <v/>
      </c>
      <c r="U8" s="14">
        <f>IF(MAX('Agent 3 Scorecard'!$Y$15:$Y$80)=0,"",MAX('Agent 3 Scorecard'!$Y$15:$Y$80))</f>
        <v/>
      </c>
      <c r="V8" s="15">
        <f>IFERROR(INDEX('Agent 3 Scorecard'!$V$15:$V$80,MATCH($B$3,'Agent 3 Scorecard'!$A$15:$A$80,0)),"")</f>
        <v/>
      </c>
      <c r="W8" s="15">
        <f>IFERROR(INDEX('Agent 3 Scorecard'!$W$15:$W$80,MATCH($B$3,'Agent 3 Scorecard'!$A$15:$A$80,0)),"")</f>
        <v/>
      </c>
    </row>
    <row r="9" ht="36" customHeight="1">
      <c r="A9" s="16">
        <f>IF('Settings'!B17="","Agent 4",'Settings'!B17)</f>
        <v/>
      </c>
      <c r="B9" s="17">
        <f>'Agent 4 Assessment'!C3</f>
        <v/>
      </c>
      <c r="C9" s="18">
        <f>IFERROR(INDEX('Agent 4 Scorecard'!$Z$15:$Z$80,MATCH($B$3,'Agent 4 Scorecard'!$A$15:$A$80,0)),"")</f>
        <v/>
      </c>
      <c r="D9" s="18">
        <f>IFERROR(INDEX('Agent 4 Scorecard'!$C$15:$C$80,MATCH($B$3,'Agent 4 Scorecard'!$A$15:$A$80,0)),"")</f>
        <v/>
      </c>
      <c r="E9" s="18">
        <f>IFERROR(INDEX('Agent 4 Scorecard'!$E$15:$E$80,MATCH($B$3,'Agent 4 Scorecard'!$A$15:$A$80,0)),"")</f>
        <v/>
      </c>
      <c r="F9" s="18">
        <f>IFERROR(INDEX('Agent 4 Scorecard'!$F$15:$F$80,MATCH($B$3,'Agent 4 Scorecard'!$A$15:$A$80,0)),"")</f>
        <v/>
      </c>
      <c r="G9" s="18">
        <f>IFERROR(INDEX('Agent 4 Scorecard'!$G$15:$G$80,MATCH($B$3,'Agent 4 Scorecard'!$A$15:$A$80,0)),"")</f>
        <v/>
      </c>
      <c r="H9" s="18">
        <f>IFERROR(INDEX('Agent 4 Scorecard'!$H$15:$H$80,MATCH($B$3,'Agent 4 Scorecard'!$A$15:$A$80,0)),"")</f>
        <v/>
      </c>
      <c r="I9" s="18">
        <f>IFERROR(INDEX('Agent 4 Scorecard'!$I$15:$I$80,MATCH($B$3,'Agent 4 Scorecard'!$A$15:$A$80,0)),"")</f>
        <v/>
      </c>
      <c r="J9" s="18">
        <f>IFERROR(INDEX('Agent 4 Scorecard'!$J$15:$J$80,MATCH($B$3,'Agent 4 Scorecard'!$A$15:$A$80,0)),"")</f>
        <v/>
      </c>
      <c r="K9" s="18">
        <f>IFERROR(INDEX('Agent 4 Scorecard'!$K$15:$K$80,MATCH($B$3,'Agent 4 Scorecard'!$A$15:$A$80,0)),"")</f>
        <v/>
      </c>
      <c r="L9" s="18">
        <f>IFERROR(INDEX('Agent 4 Scorecard'!$L$15:$L$80,MATCH($B$3,'Agent 4 Scorecard'!$A$15:$A$80,0)),"")</f>
        <v/>
      </c>
      <c r="M9" s="19">
        <f>'Agent 4 Scorecard'!K10</f>
        <v/>
      </c>
      <c r="N9" s="19">
        <f>'Agent 4 Scorecard'!D6</f>
        <v/>
      </c>
      <c r="O9" s="19">
        <f>'Agent 4 Scorecard'!C6</f>
        <v/>
      </c>
      <c r="P9" s="17">
        <f>'Agent 4 Scorecard'!E6</f>
        <v/>
      </c>
      <c r="Q9" s="18">
        <f>'Agent 4 Scorecard'!D8</f>
        <v/>
      </c>
      <c r="R9" s="18">
        <f>'Agent 4 Scorecard'!C8</f>
        <v/>
      </c>
      <c r="S9" s="17">
        <f>'Agent 4 Scorecard'!K7</f>
        <v/>
      </c>
      <c r="T9" s="20">
        <f>'Agent 4 Scorecard'!K8</f>
        <v/>
      </c>
      <c r="U9" s="21">
        <f>IF(MAX('Agent 4 Scorecard'!$Y$15:$Y$80)=0,"",MAX('Agent 4 Scorecard'!$Y$15:$Y$80))</f>
        <v/>
      </c>
      <c r="V9" s="22">
        <f>IFERROR(INDEX('Agent 4 Scorecard'!$V$15:$V$80,MATCH($B$3,'Agent 4 Scorecard'!$A$15:$A$80,0)),"")</f>
        <v/>
      </c>
      <c r="W9" s="22">
        <f>IFERROR(INDEX('Agent 4 Scorecard'!$W$15:$W$80,MATCH($B$3,'Agent 4 Scorecard'!$A$15:$A$80,0)),"")</f>
        <v/>
      </c>
    </row>
    <row r="10" ht="36" customHeight="1">
      <c r="A10" s="9">
        <f>IF('Settings'!B18="","Agent 5",'Settings'!B18)</f>
        <v/>
      </c>
      <c r="B10" s="10">
        <f>'Agent 5 Assessment'!C3</f>
        <v/>
      </c>
      <c r="C10" s="11">
        <f>IFERROR(INDEX('Agent 5 Scorecard'!$Z$15:$Z$80,MATCH($B$3,'Agent 5 Scorecard'!$A$15:$A$80,0)),"")</f>
        <v/>
      </c>
      <c r="D10" s="11">
        <f>IFERROR(INDEX('Agent 5 Scorecard'!$C$15:$C$80,MATCH($B$3,'Agent 5 Scorecard'!$A$15:$A$80,0)),"")</f>
        <v/>
      </c>
      <c r="E10" s="11">
        <f>IFERROR(INDEX('Agent 5 Scorecard'!$E$15:$E$80,MATCH($B$3,'Agent 5 Scorecard'!$A$15:$A$80,0)),"")</f>
        <v/>
      </c>
      <c r="F10" s="11">
        <f>IFERROR(INDEX('Agent 5 Scorecard'!$F$15:$F$80,MATCH($B$3,'Agent 5 Scorecard'!$A$15:$A$80,0)),"")</f>
        <v/>
      </c>
      <c r="G10" s="11">
        <f>IFERROR(INDEX('Agent 5 Scorecard'!$G$15:$G$80,MATCH($B$3,'Agent 5 Scorecard'!$A$15:$A$80,0)),"")</f>
        <v/>
      </c>
      <c r="H10" s="11">
        <f>IFERROR(INDEX('Agent 5 Scorecard'!$H$15:$H$80,MATCH($B$3,'Agent 5 Scorecard'!$A$15:$A$80,0)),"")</f>
        <v/>
      </c>
      <c r="I10" s="11">
        <f>IFERROR(INDEX('Agent 5 Scorecard'!$I$15:$I$80,MATCH($B$3,'Agent 5 Scorecard'!$A$15:$A$80,0)),"")</f>
        <v/>
      </c>
      <c r="J10" s="11">
        <f>IFERROR(INDEX('Agent 5 Scorecard'!$J$15:$J$80,MATCH($B$3,'Agent 5 Scorecard'!$A$15:$A$80,0)),"")</f>
        <v/>
      </c>
      <c r="K10" s="11">
        <f>IFERROR(INDEX('Agent 5 Scorecard'!$K$15:$K$80,MATCH($B$3,'Agent 5 Scorecard'!$A$15:$A$80,0)),"")</f>
        <v/>
      </c>
      <c r="L10" s="11">
        <f>IFERROR(INDEX('Agent 5 Scorecard'!$L$15:$L$80,MATCH($B$3,'Agent 5 Scorecard'!$A$15:$A$80,0)),"")</f>
        <v/>
      </c>
      <c r="M10" s="12">
        <f>'Agent 5 Scorecard'!K10</f>
        <v/>
      </c>
      <c r="N10" s="12">
        <f>'Agent 5 Scorecard'!D6</f>
        <v/>
      </c>
      <c r="O10" s="12">
        <f>'Agent 5 Scorecard'!C6</f>
        <v/>
      </c>
      <c r="P10" s="10">
        <f>'Agent 5 Scorecard'!E6</f>
        <v/>
      </c>
      <c r="Q10" s="11">
        <f>'Agent 5 Scorecard'!D8</f>
        <v/>
      </c>
      <c r="R10" s="11">
        <f>'Agent 5 Scorecard'!C8</f>
        <v/>
      </c>
      <c r="S10" s="10">
        <f>'Agent 5 Scorecard'!K7</f>
        <v/>
      </c>
      <c r="T10" s="13">
        <f>'Agent 5 Scorecard'!K8</f>
        <v/>
      </c>
      <c r="U10" s="14">
        <f>IF(MAX('Agent 5 Scorecard'!$Y$15:$Y$80)=0,"",MAX('Agent 5 Scorecard'!$Y$15:$Y$80))</f>
        <v/>
      </c>
      <c r="V10" s="15">
        <f>IFERROR(INDEX('Agent 5 Scorecard'!$V$15:$V$80,MATCH($B$3,'Agent 5 Scorecard'!$A$15:$A$80,0)),"")</f>
        <v/>
      </c>
      <c r="W10" s="15">
        <f>IFERROR(INDEX('Agent 5 Scorecard'!$W$15:$W$80,MATCH($B$3,'Agent 5 Scorecard'!$A$15:$A$80,0)),"")</f>
        <v/>
      </c>
    </row>
    <row r="11" ht="36" customHeight="1">
      <c r="A11" s="16">
        <f>IF('Settings'!B19="","Agent 6",'Settings'!B19)</f>
        <v/>
      </c>
      <c r="B11" s="17">
        <f>'Agent 6 Assessment'!C3</f>
        <v/>
      </c>
      <c r="C11" s="18">
        <f>IFERROR(INDEX('Agent 6 Scorecard'!$Z$15:$Z$80,MATCH($B$3,'Agent 6 Scorecard'!$A$15:$A$80,0)),"")</f>
        <v/>
      </c>
      <c r="D11" s="18">
        <f>IFERROR(INDEX('Agent 6 Scorecard'!$C$15:$C$80,MATCH($B$3,'Agent 6 Scorecard'!$A$15:$A$80,0)),"")</f>
        <v/>
      </c>
      <c r="E11" s="18">
        <f>IFERROR(INDEX('Agent 6 Scorecard'!$E$15:$E$80,MATCH($B$3,'Agent 6 Scorecard'!$A$15:$A$80,0)),"")</f>
        <v/>
      </c>
      <c r="F11" s="18">
        <f>IFERROR(INDEX('Agent 6 Scorecard'!$F$15:$F$80,MATCH($B$3,'Agent 6 Scorecard'!$A$15:$A$80,0)),"")</f>
        <v/>
      </c>
      <c r="G11" s="18">
        <f>IFERROR(INDEX('Agent 6 Scorecard'!$G$15:$G$80,MATCH($B$3,'Agent 6 Scorecard'!$A$15:$A$80,0)),"")</f>
        <v/>
      </c>
      <c r="H11" s="18">
        <f>IFERROR(INDEX('Agent 6 Scorecard'!$H$15:$H$80,MATCH($B$3,'Agent 6 Scorecard'!$A$15:$A$80,0)),"")</f>
        <v/>
      </c>
      <c r="I11" s="18">
        <f>IFERROR(INDEX('Agent 6 Scorecard'!$I$15:$I$80,MATCH($B$3,'Agent 6 Scorecard'!$A$15:$A$80,0)),"")</f>
        <v/>
      </c>
      <c r="J11" s="18">
        <f>IFERROR(INDEX('Agent 6 Scorecard'!$J$15:$J$80,MATCH($B$3,'Agent 6 Scorecard'!$A$15:$A$80,0)),"")</f>
        <v/>
      </c>
      <c r="K11" s="18">
        <f>IFERROR(INDEX('Agent 6 Scorecard'!$K$15:$K$80,MATCH($B$3,'Agent 6 Scorecard'!$A$15:$A$80,0)),"")</f>
        <v/>
      </c>
      <c r="L11" s="18">
        <f>IFERROR(INDEX('Agent 6 Scorecard'!$L$15:$L$80,MATCH($B$3,'Agent 6 Scorecard'!$A$15:$A$80,0)),"")</f>
        <v/>
      </c>
      <c r="M11" s="19">
        <f>'Agent 6 Scorecard'!K10</f>
        <v/>
      </c>
      <c r="N11" s="19">
        <f>'Agent 6 Scorecard'!D6</f>
        <v/>
      </c>
      <c r="O11" s="19">
        <f>'Agent 6 Scorecard'!C6</f>
        <v/>
      </c>
      <c r="P11" s="17">
        <f>'Agent 6 Scorecard'!E6</f>
        <v/>
      </c>
      <c r="Q11" s="18">
        <f>'Agent 6 Scorecard'!D8</f>
        <v/>
      </c>
      <c r="R11" s="18">
        <f>'Agent 6 Scorecard'!C8</f>
        <v/>
      </c>
      <c r="S11" s="17">
        <f>'Agent 6 Scorecard'!K7</f>
        <v/>
      </c>
      <c r="T11" s="20">
        <f>'Agent 6 Scorecard'!K8</f>
        <v/>
      </c>
      <c r="U11" s="21">
        <f>IF(MAX('Agent 6 Scorecard'!$Y$15:$Y$80)=0,"",MAX('Agent 6 Scorecard'!$Y$15:$Y$80))</f>
        <v/>
      </c>
      <c r="V11" s="22">
        <f>IFERROR(INDEX('Agent 6 Scorecard'!$V$15:$V$80,MATCH($B$3,'Agent 6 Scorecard'!$A$15:$A$80,0)),"")</f>
        <v/>
      </c>
      <c r="W11" s="22">
        <f>IFERROR(INDEX('Agent 6 Scorecard'!$W$15:$W$80,MATCH($B$3,'Agent 6 Scorecard'!$A$15:$A$80,0)),"")</f>
        <v/>
      </c>
    </row>
    <row r="12" ht="36" customHeight="1">
      <c r="A12" s="9">
        <f>IF('Settings'!B20="","Agent 7",'Settings'!B20)</f>
        <v/>
      </c>
      <c r="B12" s="10">
        <f>'Agent 7 Assessment'!C3</f>
        <v/>
      </c>
      <c r="C12" s="11">
        <f>IFERROR(INDEX('Agent 7 Scorecard'!$Z$15:$Z$80,MATCH($B$3,'Agent 7 Scorecard'!$A$15:$A$80,0)),"")</f>
        <v/>
      </c>
      <c r="D12" s="11">
        <f>IFERROR(INDEX('Agent 7 Scorecard'!$C$15:$C$80,MATCH($B$3,'Agent 7 Scorecard'!$A$15:$A$80,0)),"")</f>
        <v/>
      </c>
      <c r="E12" s="11">
        <f>IFERROR(INDEX('Agent 7 Scorecard'!$E$15:$E$80,MATCH($B$3,'Agent 7 Scorecard'!$A$15:$A$80,0)),"")</f>
        <v/>
      </c>
      <c r="F12" s="11">
        <f>IFERROR(INDEX('Agent 7 Scorecard'!$F$15:$F$80,MATCH($B$3,'Agent 7 Scorecard'!$A$15:$A$80,0)),"")</f>
        <v/>
      </c>
      <c r="G12" s="11">
        <f>IFERROR(INDEX('Agent 7 Scorecard'!$G$15:$G$80,MATCH($B$3,'Agent 7 Scorecard'!$A$15:$A$80,0)),"")</f>
        <v/>
      </c>
      <c r="H12" s="11">
        <f>IFERROR(INDEX('Agent 7 Scorecard'!$H$15:$H$80,MATCH($B$3,'Agent 7 Scorecard'!$A$15:$A$80,0)),"")</f>
        <v/>
      </c>
      <c r="I12" s="11">
        <f>IFERROR(INDEX('Agent 7 Scorecard'!$I$15:$I$80,MATCH($B$3,'Agent 7 Scorecard'!$A$15:$A$80,0)),"")</f>
        <v/>
      </c>
      <c r="J12" s="11">
        <f>IFERROR(INDEX('Agent 7 Scorecard'!$J$15:$J$80,MATCH($B$3,'Agent 7 Scorecard'!$A$15:$A$80,0)),"")</f>
        <v/>
      </c>
      <c r="K12" s="11">
        <f>IFERROR(INDEX('Agent 7 Scorecard'!$K$15:$K$80,MATCH($B$3,'Agent 7 Scorecard'!$A$15:$A$80,0)),"")</f>
        <v/>
      </c>
      <c r="L12" s="11">
        <f>IFERROR(INDEX('Agent 7 Scorecard'!$L$15:$L$80,MATCH($B$3,'Agent 7 Scorecard'!$A$15:$A$80,0)),"")</f>
        <v/>
      </c>
      <c r="M12" s="12">
        <f>'Agent 7 Scorecard'!K10</f>
        <v/>
      </c>
      <c r="N12" s="12">
        <f>'Agent 7 Scorecard'!D6</f>
        <v/>
      </c>
      <c r="O12" s="12">
        <f>'Agent 7 Scorecard'!C6</f>
        <v/>
      </c>
      <c r="P12" s="10">
        <f>'Agent 7 Scorecard'!E6</f>
        <v/>
      </c>
      <c r="Q12" s="11">
        <f>'Agent 7 Scorecard'!D8</f>
        <v/>
      </c>
      <c r="R12" s="11">
        <f>'Agent 7 Scorecard'!C8</f>
        <v/>
      </c>
      <c r="S12" s="10">
        <f>'Agent 7 Scorecard'!K7</f>
        <v/>
      </c>
      <c r="T12" s="13">
        <f>'Agent 7 Scorecard'!K8</f>
        <v/>
      </c>
      <c r="U12" s="14">
        <f>IF(MAX('Agent 7 Scorecard'!$Y$15:$Y$80)=0,"",MAX('Agent 7 Scorecard'!$Y$15:$Y$80))</f>
        <v/>
      </c>
      <c r="V12" s="15">
        <f>IFERROR(INDEX('Agent 7 Scorecard'!$V$15:$V$80,MATCH($B$3,'Agent 7 Scorecard'!$A$15:$A$80,0)),"")</f>
        <v/>
      </c>
      <c r="W12" s="15">
        <f>IFERROR(INDEX('Agent 7 Scorecard'!$W$15:$W$80,MATCH($B$3,'Agent 7 Scorecard'!$A$15:$A$80,0)),"")</f>
        <v/>
      </c>
    </row>
    <row r="13">
      <c r="A13" s="23" t="inlineStr">
        <is>
          <t>TEAM TOTAL</t>
        </is>
      </c>
      <c r="D13" s="24">
        <f>SUM(D6:D12)</f>
        <v/>
      </c>
      <c r="E13" s="24">
        <f>SUM(E6:E12)</f>
        <v/>
      </c>
      <c r="F13" s="24">
        <f>SUM(F6:F12)</f>
        <v/>
      </c>
      <c r="G13" s="24">
        <f>SUM(G6:G12)</f>
        <v/>
      </c>
      <c r="H13" s="24">
        <f>SUM(H6:H12)</f>
        <v/>
      </c>
      <c r="I13" s="24">
        <f>SUM(I6:I12)</f>
        <v/>
      </c>
      <c r="J13" s="24">
        <f>SUM(J6:J12)</f>
        <v/>
      </c>
      <c r="K13" s="24">
        <f>SUM(K6:K12)</f>
        <v/>
      </c>
      <c r="L13" s="24">
        <f>SUM(L6:L12)</f>
        <v/>
      </c>
      <c r="M13" s="25">
        <f>SUM(M6:M12)</f>
        <v/>
      </c>
      <c r="N13" s="25">
        <f>SUM(N6:N12)</f>
        <v/>
      </c>
      <c r="O13" s="25">
        <f>SUM(O6:O12)</f>
        <v/>
      </c>
      <c r="Q13" s="24">
        <f>SUM(Q6:Q12)</f>
        <v/>
      </c>
      <c r="R13" s="24">
        <f>SUM(R6:R12)</f>
        <v/>
      </c>
    </row>
  </sheetData>
  <mergeCells count="2">
    <mergeCell ref="A2:W2"/>
    <mergeCell ref="A1:W1"/>
  </mergeCells>
  <conditionalFormatting sqref="C6:C12">
    <cfRule type="cellIs" priority="1" operator="equal" dxfId="0">
      <formula>"⚠ Missing"</formula>
    </cfRule>
    <cfRule type="cellIs" priority="2" operator="equal" dxfId="1">
      <formula>"✓ Updated"</formula>
    </cfRule>
    <cfRule type="cellIs" priority="3" operator="equal" dxfId="2">
      <formula>"Due Friday"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7280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24" customWidth="1" min="4" max="4"/>
    <col width="24" customWidth="1" min="5" max="5"/>
    <col width="24" customWidth="1" min="6" max="6"/>
  </cols>
  <sheetData>
    <row r="1" ht="34" customHeight="1">
      <c r="A1" s="1" t="inlineStr">
        <is>
          <t>Settings — Score Card Automation</t>
        </is>
      </c>
    </row>
    <row r="2" ht="30" customHeight="1">
      <c r="A2" s="5" t="inlineStr">
        <is>
          <t>Owner-only. Fill in agent names + emails, then use the  Score Card  menu → “Rename tabs from Settings” and “Share &amp; protect”. Email schedule changes take effect after “Install weekly email triggers”.</t>
        </is>
      </c>
    </row>
    <row r="4">
      <c r="A4" s="3" t="inlineStr">
        <is>
          <t>Owner name</t>
        </is>
      </c>
      <c r="C4" s="26" t="inlineStr">
        <is>
          <t>Nicholas Carnes</t>
        </is>
      </c>
    </row>
    <row r="5">
      <c r="A5" s="3" t="inlineStr">
        <is>
          <t>Owner email (weekly team summary goes here)</t>
        </is>
      </c>
      <c r="C5" s="26" t="inlineStr">
        <is>
          <t>nicholascarnes45@gmail.com</t>
        </is>
      </c>
    </row>
    <row r="6">
      <c r="A6" s="3" t="inlineStr">
        <is>
          <t>Team name</t>
        </is>
      </c>
      <c r="C6" s="26" t="inlineStr">
        <is>
          <t>The Praedium Group</t>
        </is>
      </c>
    </row>
    <row r="7">
      <c r="A7" s="3" t="inlineStr">
        <is>
          <t>Agent reminder day</t>
        </is>
      </c>
      <c r="C7" s="26" t="inlineStr">
        <is>
          <t>FRIDAY</t>
        </is>
      </c>
    </row>
    <row r="8">
      <c r="A8" s="3" t="inlineStr">
        <is>
          <t>Agent reminder hour (0–23)</t>
        </is>
      </c>
      <c r="C8" s="26" t="n">
        <v>9</v>
      </c>
    </row>
    <row r="9">
      <c r="A9" s="3" t="inlineStr">
        <is>
          <t>Owner summary day</t>
        </is>
      </c>
      <c r="C9" s="26" t="inlineStr">
        <is>
          <t>MONDAY</t>
        </is>
      </c>
    </row>
    <row r="10">
      <c r="A10" s="3" t="inlineStr">
        <is>
          <t>Owner summary hour (0–23)</t>
        </is>
      </c>
      <c r="C10" s="26" t="n">
        <v>7</v>
      </c>
    </row>
    <row r="11">
      <c r="A11" s="3" t="inlineStr">
        <is>
          <t>Send Monday nudge to agents who missed last week?</t>
        </is>
      </c>
      <c r="C11" s="26" t="inlineStr">
        <is>
          <t>Yes</t>
        </is>
      </c>
    </row>
    <row r="13">
      <c r="A13" s="8" t="inlineStr">
        <is>
          <t>#</t>
        </is>
      </c>
      <c r="B13" s="8" t="inlineStr">
        <is>
          <t>Agent Name</t>
        </is>
      </c>
      <c r="C13" s="8" t="inlineStr">
        <is>
          <t>Agent Email</t>
        </is>
      </c>
      <c r="D13" s="8" t="inlineStr">
        <is>
          <t>Scorecard Tab</t>
        </is>
      </c>
      <c r="E13" s="8" t="inlineStr">
        <is>
          <t>Assessment Tab</t>
        </is>
      </c>
      <c r="F13" s="8" t="inlineStr">
        <is>
          <t>Market Center</t>
        </is>
      </c>
    </row>
    <row r="14">
      <c r="A14" s="27" t="n">
        <v>1</v>
      </c>
      <c r="B14" s="28" t="inlineStr"/>
      <c r="C14" s="28" t="inlineStr"/>
      <c r="D14" s="29" t="inlineStr">
        <is>
          <t>Agent 1 Scorecard</t>
        </is>
      </c>
      <c r="E14" s="29" t="inlineStr">
        <is>
          <t>Agent 1 Assessment</t>
        </is>
      </c>
      <c r="F14" s="28" t="inlineStr"/>
    </row>
    <row r="15">
      <c r="A15" s="27" t="n">
        <v>2</v>
      </c>
      <c r="B15" s="28" t="inlineStr"/>
      <c r="C15" s="28" t="inlineStr"/>
      <c r="D15" s="29" t="inlineStr">
        <is>
          <t>Agent 2 Scorecard</t>
        </is>
      </c>
      <c r="E15" s="29" t="inlineStr">
        <is>
          <t>Agent 2 Assessment</t>
        </is>
      </c>
      <c r="F15" s="28" t="inlineStr"/>
    </row>
    <row r="16">
      <c r="A16" s="27" t="n">
        <v>3</v>
      </c>
      <c r="B16" s="28" t="inlineStr"/>
      <c r="C16" s="28" t="inlineStr"/>
      <c r="D16" s="29" t="inlineStr">
        <is>
          <t>Agent 3 Scorecard</t>
        </is>
      </c>
      <c r="E16" s="29" t="inlineStr">
        <is>
          <t>Agent 3 Assessment</t>
        </is>
      </c>
      <c r="F16" s="28" t="inlineStr"/>
    </row>
    <row r="17">
      <c r="A17" s="27" t="n">
        <v>4</v>
      </c>
      <c r="B17" s="28" t="inlineStr"/>
      <c r="C17" s="28" t="inlineStr"/>
      <c r="D17" s="29" t="inlineStr">
        <is>
          <t>Agent 4 Scorecard</t>
        </is>
      </c>
      <c r="E17" s="29" t="inlineStr">
        <is>
          <t>Agent 4 Assessment</t>
        </is>
      </c>
      <c r="F17" s="28" t="inlineStr"/>
    </row>
    <row r="18">
      <c r="A18" s="27" t="n">
        <v>5</v>
      </c>
      <c r="B18" s="28" t="inlineStr"/>
      <c r="C18" s="28" t="inlineStr"/>
      <c r="D18" s="29" t="inlineStr">
        <is>
          <t>Agent 5 Scorecard</t>
        </is>
      </c>
      <c r="E18" s="29" t="inlineStr">
        <is>
          <t>Agent 5 Assessment</t>
        </is>
      </c>
      <c r="F18" s="28" t="inlineStr"/>
    </row>
    <row r="19">
      <c r="A19" s="27" t="n">
        <v>6</v>
      </c>
      <c r="B19" s="28" t="inlineStr"/>
      <c r="C19" s="28" t="inlineStr"/>
      <c r="D19" s="29" t="inlineStr">
        <is>
          <t>Agent 6 Scorecard</t>
        </is>
      </c>
      <c r="E19" s="29" t="inlineStr">
        <is>
          <t>Agent 6 Assessment</t>
        </is>
      </c>
      <c r="F19" s="28" t="inlineStr"/>
    </row>
    <row r="20">
      <c r="A20" s="27" t="n">
        <v>7</v>
      </c>
      <c r="B20" s="28" t="inlineStr"/>
      <c r="C20" s="28" t="inlineStr"/>
      <c r="D20" s="29" t="inlineStr">
        <is>
          <t>Agent 7 Scorecard</t>
        </is>
      </c>
      <c r="E20" s="29" t="inlineStr">
        <is>
          <t>Agent 7 Assessment</t>
        </is>
      </c>
      <c r="F20" s="28" t="inlineStr"/>
    </row>
    <row r="22">
      <c r="A22" s="7" t="inlineStr">
        <is>
          <t>Scorecard/Assessment Tab columns are maintained by the script — don't edit them by hand.</t>
        </is>
      </c>
    </row>
  </sheetData>
  <mergeCells count="10">
    <mergeCell ref="A4:B4"/>
    <mergeCell ref="A2:F2"/>
    <mergeCell ref="A7:B7"/>
    <mergeCell ref="A1:F1"/>
    <mergeCell ref="A11:B11"/>
    <mergeCell ref="A10:B10"/>
    <mergeCell ref="A5:B5"/>
    <mergeCell ref="A9:B9"/>
    <mergeCell ref="A8:B8"/>
    <mergeCell ref="A6:B6"/>
  </mergeCells>
  <dataValidations count="3">
    <dataValidation sqref="C7" showDropDown="0" showInputMessage="0" showErrorMessage="0" allowBlank="1" type="list">
      <formula1>"MONDAY,TUESDAY,WEDNESDAY,THURSDAY,FRIDAY,SATURDAY,SUNDAY"</formula1>
    </dataValidation>
    <dataValidation sqref="C9" showDropDown="0" showInputMessage="0" showErrorMessage="0" allowBlank="1" type="list">
      <formula1>"MONDAY,TUESDAY,WEDNESDAY,THURSDAY,FRIDAY,SATURDAY,SUNDAY"</formula1>
    </dataValidation>
    <dataValidation sqref="C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Z8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  <col width="12" customWidth="1" min="15" max="15"/>
    <col width="9" customWidth="1" min="16" max="16"/>
    <col width="10" customWidth="1" min="17" max="17"/>
    <col width="9" customWidth="1" min="18" max="18"/>
    <col width="13" customWidth="1" min="19" max="19"/>
    <col width="12" customWidth="1" min="20" max="20"/>
    <col width="14" customWidth="1" min="21" max="21"/>
    <col width="30" customWidth="1" min="22" max="22"/>
    <col width="30" customWidth="1" min="23" max="23"/>
    <col width="30" customWidth="1" min="24" max="24"/>
    <col width="17" customWidth="1" min="25" max="25"/>
    <col width="12" customWidth="1" min="26" max="26"/>
  </cols>
  <sheetData>
    <row r="1" ht="34" customHeight="1">
      <c r="A1" s="1">
        <f>IF('Settings'!B14="","Agent 1",'Settings'!B14)&amp;" — Weekly Score Card"</f>
        <v/>
      </c>
    </row>
    <row r="2" ht="30" customHeight="1">
      <c r="A2" s="5" t="inlineStr">
        <is>
          <t>Fill in your row for the current week by Friday end of day (yellow cells). Estimates are fine. “Follow-Ups Outstanding” and “Pipeline Potential GCI” are snapshots as of the end of the week; everything else is what happened that week. Q4 progress below updates automatically.</t>
        </is>
      </c>
    </row>
    <row r="4">
      <c r="A4" s="30" t="inlineStr">
        <is>
          <t>Q4 2026 PROGRESS  (goals come from Section 13 of your Assessment)</t>
        </is>
      </c>
      <c r="H4" s="2" t="inlineStr">
        <is>
          <t>ACCOUNTABILITY</t>
        </is>
      </c>
    </row>
    <row r="5">
      <c r="A5" s="8" t="inlineStr">
        <is>
          <t>Metric</t>
        </is>
      </c>
      <c r="B5" s="31" t="n"/>
      <c r="C5" s="8" t="inlineStr">
        <is>
          <t>Q4 Goal</t>
        </is>
      </c>
      <c r="D5" s="8" t="inlineStr">
        <is>
          <t>Q4 Actual</t>
        </is>
      </c>
      <c r="E5" s="8" t="inlineStr">
        <is>
          <t>% to Goal</t>
        </is>
      </c>
      <c r="F5" s="8" t="inlineStr">
        <is>
          <t>On Pace?</t>
        </is>
      </c>
      <c r="H5" s="3" t="inlineStr">
        <is>
          <t>Weeks updated</t>
        </is>
      </c>
      <c r="K5" s="32">
        <f>COUNTIFS($A$15:$A$80,"&lt;="&amp;TODAY(),$Y$15:$Y$80,"&lt;&gt;")</f>
        <v/>
      </c>
    </row>
    <row r="6">
      <c r="A6" s="33" t="inlineStr">
        <is>
          <t>Commercial GCI</t>
        </is>
      </c>
      <c r="B6" s="34" t="n"/>
      <c r="C6" s="12">
        <f>IF('Agent 1 Assessment'!C285="","",'Agent 1 Assessment'!C285)</f>
        <v/>
      </c>
      <c r="D6" s="12">
        <f>SUMIFS($T$15:$T$80,$A$15:$A$80,"&gt;="&amp;DATE(2026,9,28),$A$15:$A$80,"&lt;="&amp;DATE(2026,12,31))</f>
        <v/>
      </c>
      <c r="E6" s="10">
        <f>IFERROR(D6/C6,"")</f>
        <v/>
      </c>
      <c r="F6" s="11">
        <f>IF(C6="","Set goal",IF(D6&gt;=C6*MAX(0,MIN(1,(TODAY()-DATE(2026,10,1))/(DATE(2026,12,31)-DATE(2026,10,1)))),"On pace","Behind"))</f>
        <v/>
      </c>
      <c r="H6" s="3" t="inlineStr">
        <is>
          <t>Weeks elapsed</t>
        </is>
      </c>
      <c r="K6" s="32">
        <f>COUNTIFS($A$15:$A$80,"&lt;="&amp;TODAY())</f>
        <v/>
      </c>
    </row>
    <row r="7">
      <c r="A7" s="33" t="inlineStr">
        <is>
          <t>Transaction Volume</t>
        </is>
      </c>
      <c r="B7" s="34" t="n"/>
      <c r="C7" s="12">
        <f>IF('Agent 1 Assessment'!C284="","",'Agent 1 Assessment'!C284)</f>
        <v/>
      </c>
      <c r="D7" s="12">
        <f>SUMIFS($S$15:$S$80,$A$15:$A$80,"&gt;="&amp;DATE(2026,9,28),$A$15:$A$80,"&lt;="&amp;DATE(2026,12,31))</f>
        <v/>
      </c>
      <c r="E7" s="10">
        <f>IFERROR(D7/C7,"")</f>
        <v/>
      </c>
      <c r="F7" s="11">
        <f>IF(C7="","Set goal",IF(D7&gt;=C7*MAX(0,MIN(1,(TODAY()-DATE(2026,10,1))/(DATE(2026,12,31)-DATE(2026,10,1)))),"On pace","Behind"))</f>
        <v/>
      </c>
      <c r="H7" s="3" t="inlineStr">
        <is>
          <t>Consistency</t>
        </is>
      </c>
      <c r="K7" s="17">
        <f>IFERROR(K5/K6,0)</f>
        <v/>
      </c>
    </row>
    <row r="8">
      <c r="A8" s="33" t="inlineStr">
        <is>
          <t>Closings</t>
        </is>
      </c>
      <c r="B8" s="34" t="n"/>
      <c r="C8" s="11">
        <f>IF('Agent 1 Assessment'!C286="","",'Agent 1 Assessment'!C286)</f>
        <v/>
      </c>
      <c r="D8" s="11">
        <f>SUMIFS($R$15:$R$80,$A$15:$A$80,"&gt;="&amp;DATE(2026,9,28),$A$15:$A$80,"&lt;="&amp;DATE(2026,12,31))</f>
        <v/>
      </c>
      <c r="E8" s="10">
        <f>IFERROR(D8/C8,"")</f>
        <v/>
      </c>
      <c r="F8" s="11">
        <f>IF(C8="","Set goal",IF(D8&gt;=C8*MAX(0,MIN(1,(TODAY()-DATE(2026,10,1))/(DATE(2026,12,31)-DATE(2026,10,1)))),"On pace","Behind"))</f>
        <v/>
      </c>
      <c r="H8" s="3" t="inlineStr">
        <is>
          <t>Avg calls / week</t>
        </is>
      </c>
      <c r="K8" s="20">
        <f>IFERROR(AVERAGEIFS($F$15:$F$80,$A$15:$A$80,"&lt;="&amp;TODAY(),$F$15:$F$80,"&lt;&gt;"),0)</f>
        <v/>
      </c>
    </row>
    <row r="9">
      <c r="A9" s="33" t="inlineStr">
        <is>
          <t>New Listings</t>
        </is>
      </c>
      <c r="B9" s="34" t="n"/>
      <c r="C9" s="11">
        <f>IF('Agent 1 Assessment'!C287="","",'Agent 1 Assessment'!C287)</f>
        <v/>
      </c>
      <c r="D9" s="11">
        <f>SUMIFS($N$15:$N$80,$A$15:$A$80,"&gt;="&amp;DATE(2026,9,28),$A$15:$A$80,"&lt;="&amp;DATE(2026,12,31))</f>
        <v/>
      </c>
      <c r="E9" s="10">
        <f>IFERROR(D9/C9,"")</f>
        <v/>
      </c>
      <c r="F9" s="11">
        <f>IF(C9="","Set goal",IF(D9&gt;=C9*MAX(0,MIN(1,(TODAY()-DATE(2026,10,1))/(DATE(2026,12,31)-DATE(2026,10,1)))),"On pace","Behind"))</f>
        <v/>
      </c>
      <c r="H9" s="3" t="inlineStr">
        <is>
          <t>Avg meetings / week</t>
        </is>
      </c>
      <c r="K9" s="20">
        <f>IFERROR(AVERAGEIFS($H$15:$H$80,$A$15:$A$80,"&lt;="&amp;TODAY(),$H$15:$H$80,"&lt;&gt;"),0)</f>
        <v/>
      </c>
    </row>
    <row r="10">
      <c r="A10" s="33" t="inlineStr">
        <is>
          <t>New Buyer / Tenant Assignments</t>
        </is>
      </c>
      <c r="B10" s="34" t="n"/>
      <c r="C10" s="11">
        <f>IF('Agent 1 Assessment'!C288="","",'Agent 1 Assessment'!C288)</f>
        <v/>
      </c>
      <c r="D10" s="11">
        <f>SUMIFS($O$15:$O$80,$A$15:$A$80,"&gt;="&amp;DATE(2026,9,28),$A$15:$A$80,"&lt;="&amp;DATE(2026,12,31))</f>
        <v/>
      </c>
      <c r="E10" s="10">
        <f>IFERROR(D10/C10,"")</f>
        <v/>
      </c>
      <c r="F10" s="11">
        <f>IF(C10="","Set goal",IF(D10&gt;=C10*MAX(0,MIN(1,(TODAY()-DATE(2026,10,1))/(DATE(2026,12,31)-DATE(2026,10,1)))),"On pace","Behind"))</f>
        <v/>
      </c>
      <c r="H10" s="3" t="inlineStr">
        <is>
          <t>Latest pipeline GCI</t>
        </is>
      </c>
      <c r="K10" s="19">
        <f>IFERROR(INDEX($U$15:$U$80,MATCH(1E+100,$U$15:$U$80)),"")</f>
        <v/>
      </c>
    </row>
    <row r="11">
      <c r="A11" s="33" t="inlineStr">
        <is>
          <t>Qualified Opportunities Created</t>
        </is>
      </c>
      <c r="B11" s="34" t="n"/>
      <c r="C11" s="11">
        <f>IF('Agent 1 Assessment'!C289="","",'Agent 1 Assessment'!C289)</f>
        <v/>
      </c>
      <c r="D11" s="11">
        <f>SUMIFS($I$15:$I$80,$A$15:$A$80,"&gt;="&amp;DATE(2026,9,28),$A$15:$A$80,"&lt;="&amp;DATE(2026,12,31))</f>
        <v/>
      </c>
      <c r="E11" s="10">
        <f>IFERROR(D11/C11,"")</f>
        <v/>
      </c>
      <c r="F11" s="11">
        <f>IF(C11="","Set goal",IF(D11&gt;=C11*MAX(0,MIN(1,(TODAY()-DATE(2026,10,1))/(DATE(2026,12,31)-DATE(2026,10,1)))),"On pace","Behind"))</f>
        <v/>
      </c>
      <c r="H11" s="3" t="inlineStr">
        <is>
          <t>Assessment complete</t>
        </is>
      </c>
      <c r="K11" s="17">
        <f>'Agent 1 Assessment'!C3</f>
        <v/>
      </c>
    </row>
    <row r="12">
      <c r="A12" s="33" t="inlineStr">
        <is>
          <t>Meetings (goal = per month × 3)</t>
        </is>
      </c>
      <c r="B12" s="34" t="n"/>
      <c r="C12" s="11">
        <f>IF('Agent 1 Assessment'!C290="","",'Agent 1 Assessment'!C290*3)</f>
        <v/>
      </c>
      <c r="D12" s="11">
        <f>SUMIFS($H$15:$H$80,$A$15:$A$80,"&gt;="&amp;DATE(2026,9,28),$A$15:$A$80,"&lt;="&amp;DATE(2026,12,31))</f>
        <v/>
      </c>
      <c r="E12" s="10">
        <f>IFERROR(D12/C12,"")</f>
        <v/>
      </c>
      <c r="F12" s="11">
        <f>IF(C12="","Set goal",IF(D12&gt;=C12*MAX(0,MIN(1,(TODAY()-DATE(2026,10,1))/(DATE(2026,12,31)-DATE(2026,10,1)))),"On pace","Behind"))</f>
        <v/>
      </c>
    </row>
    <row r="14" ht="48" customHeight="1">
      <c r="A14" s="8" t="inlineStr">
        <is>
          <t>Week Of (Mon)</t>
        </is>
      </c>
      <c r="B14" s="8" t="inlineStr">
        <is>
          <t>Days Worked</t>
        </is>
      </c>
      <c r="C14" s="8" t="inlineStr">
        <is>
          <t>Total RE Hours</t>
        </is>
      </c>
      <c r="D14" s="8" t="inlineStr">
        <is>
          <t>Commercial Hours</t>
        </is>
      </c>
      <c r="E14" s="8" t="inlineStr">
        <is>
          <t>Prospecting Hours</t>
        </is>
      </c>
      <c r="F14" s="8" t="inlineStr">
        <is>
          <t>Calls / Outreach Attempts</t>
        </is>
      </c>
      <c r="G14" s="8" t="inlineStr">
        <is>
          <t>Decision-Maker Conversations</t>
        </is>
      </c>
      <c r="H14" s="8" t="inlineStr">
        <is>
          <t>Prospect / Client Meetings</t>
        </is>
      </c>
      <c r="I14" s="8" t="inlineStr">
        <is>
          <t>New Opportunities Created</t>
        </is>
      </c>
      <c r="J14" s="8" t="inlineStr">
        <is>
          <t>New Database Contacts</t>
        </is>
      </c>
      <c r="K14" s="8" t="inlineStr">
        <is>
          <t>Follow-Ups Outstanding</t>
        </is>
      </c>
      <c r="L14" s="8" t="inlineStr">
        <is>
          <t>Market Center Agent Conversations</t>
        </is>
      </c>
      <c r="M14" s="8" t="inlineStr">
        <is>
          <t>Sphere Touches</t>
        </is>
      </c>
      <c r="N14" s="8" t="inlineStr">
        <is>
          <t>New Listings</t>
        </is>
      </c>
      <c r="O14" s="8" t="inlineStr">
        <is>
          <t>New Buyer / Tenant Assignments</t>
        </is>
      </c>
      <c r="P14" s="8" t="inlineStr">
        <is>
          <t>LOIs Submitted</t>
        </is>
      </c>
      <c r="Q14" s="8" t="inlineStr">
        <is>
          <t>Went Under Contract</t>
        </is>
      </c>
      <c r="R14" s="8" t="inlineStr">
        <is>
          <t>Closings</t>
        </is>
      </c>
      <c r="S14" s="8" t="inlineStr">
        <is>
          <t>Volume Closed ($)</t>
        </is>
      </c>
      <c r="T14" s="8" t="inlineStr">
        <is>
          <t>GCI Closed ($)</t>
        </is>
      </c>
      <c r="U14" s="8" t="inlineStr">
        <is>
          <t>Pipeline Potential GCI ($)</t>
        </is>
      </c>
      <c r="V14" s="8" t="inlineStr">
        <is>
          <t>Win of the Week</t>
        </is>
      </c>
      <c r="W14" s="8" t="inlineStr">
        <is>
          <t>Biggest Obstacle</t>
        </is>
      </c>
      <c r="X14" s="8" t="inlineStr">
        <is>
          <t>#1 Focus Next Week</t>
        </is>
      </c>
      <c r="Y14" s="8" t="inlineStr">
        <is>
          <t>Last Updated (auto)</t>
        </is>
      </c>
      <c r="Z14" s="8" t="inlineStr">
        <is>
          <t>Status</t>
        </is>
      </c>
    </row>
    <row r="15">
      <c r="A15" s="35" t="n">
        <v>46293</v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7" t="n"/>
      <c r="T15" s="37" t="n"/>
      <c r="U15" s="37" t="n"/>
      <c r="V15" s="38" t="n"/>
      <c r="W15" s="38" t="n"/>
      <c r="X15" s="38" t="n"/>
      <c r="Y15" s="39" t="n"/>
      <c r="Z15" s="11">
        <f>IF(A15&gt;TODAY(),"Upcoming",IF(Y15&lt;&gt;"","✓ Updated",IF(A15+6&gt;=TODAY(),"Due Friday","⚠ Missing")))</f>
        <v/>
      </c>
    </row>
    <row r="16">
      <c r="A16" s="35" t="n">
        <v>46300</v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7" t="n"/>
      <c r="T16" s="37" t="n"/>
      <c r="U16" s="37" t="n"/>
      <c r="V16" s="38" t="n"/>
      <c r="W16" s="38" t="n"/>
      <c r="X16" s="38" t="n"/>
      <c r="Y16" s="39" t="n"/>
      <c r="Z16" s="11">
        <f>IF(A16&gt;TODAY(),"Upcoming",IF(Y16&lt;&gt;"","✓ Updated",IF(A16+6&gt;=TODAY(),"Due Friday","⚠ Missing")))</f>
        <v/>
      </c>
    </row>
    <row r="17">
      <c r="A17" s="35" t="n">
        <v>46307</v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7" t="n"/>
      <c r="T17" s="37" t="n"/>
      <c r="U17" s="37" t="n"/>
      <c r="V17" s="38" t="n"/>
      <c r="W17" s="38" t="n"/>
      <c r="X17" s="38" t="n"/>
      <c r="Y17" s="39" t="n"/>
      <c r="Z17" s="11">
        <f>IF(A17&gt;TODAY(),"Upcoming",IF(Y17&lt;&gt;"","✓ Updated",IF(A17+6&gt;=TODAY(),"Due Friday","⚠ Missing")))</f>
        <v/>
      </c>
    </row>
    <row r="18">
      <c r="A18" s="35" t="n">
        <v>46314</v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7" t="n"/>
      <c r="T18" s="37" t="n"/>
      <c r="U18" s="37" t="n"/>
      <c r="V18" s="38" t="n"/>
      <c r="W18" s="38" t="n"/>
      <c r="X18" s="38" t="n"/>
      <c r="Y18" s="39" t="n"/>
      <c r="Z18" s="11">
        <f>IF(A18&gt;TODAY(),"Upcoming",IF(Y18&lt;&gt;"","✓ Updated",IF(A18+6&gt;=TODAY(),"Due Friday","⚠ Missing")))</f>
        <v/>
      </c>
    </row>
    <row r="19">
      <c r="A19" s="35" t="n">
        <v>46321</v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7" t="n"/>
      <c r="T19" s="37" t="n"/>
      <c r="U19" s="37" t="n"/>
      <c r="V19" s="38" t="n"/>
      <c r="W19" s="38" t="n"/>
      <c r="X19" s="38" t="n"/>
      <c r="Y19" s="39" t="n"/>
      <c r="Z19" s="11">
        <f>IF(A19&gt;TODAY(),"Upcoming",IF(Y19&lt;&gt;"","✓ Updated",IF(A19+6&gt;=TODAY(),"Due Friday","⚠ Missing")))</f>
        <v/>
      </c>
    </row>
    <row r="20">
      <c r="A20" s="35" t="n">
        <v>46328</v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7" t="n"/>
      <c r="T20" s="37" t="n"/>
      <c r="U20" s="37" t="n"/>
      <c r="V20" s="38" t="n"/>
      <c r="W20" s="38" t="n"/>
      <c r="X20" s="38" t="n"/>
      <c r="Y20" s="39" t="n"/>
      <c r="Z20" s="11">
        <f>IF(A20&gt;TODAY(),"Upcoming",IF(Y20&lt;&gt;"","✓ Updated",IF(A20+6&gt;=TODAY(),"Due Friday","⚠ Missing")))</f>
        <v/>
      </c>
    </row>
    <row r="21">
      <c r="A21" s="35" t="n">
        <v>46335</v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7" t="n"/>
      <c r="T21" s="37" t="n"/>
      <c r="U21" s="37" t="n"/>
      <c r="V21" s="38" t="n"/>
      <c r="W21" s="38" t="n"/>
      <c r="X21" s="38" t="n"/>
      <c r="Y21" s="39" t="n"/>
      <c r="Z21" s="11">
        <f>IF(A21&gt;TODAY(),"Upcoming",IF(Y21&lt;&gt;"","✓ Updated",IF(A21+6&gt;=TODAY(),"Due Friday","⚠ Missing")))</f>
        <v/>
      </c>
    </row>
    <row r="22">
      <c r="A22" s="35" t="n">
        <v>46342</v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7" t="n"/>
      <c r="T22" s="37" t="n"/>
      <c r="U22" s="37" t="n"/>
      <c r="V22" s="38" t="n"/>
      <c r="W22" s="38" t="n"/>
      <c r="X22" s="38" t="n"/>
      <c r="Y22" s="39" t="n"/>
      <c r="Z22" s="11">
        <f>IF(A22&gt;TODAY(),"Upcoming",IF(Y22&lt;&gt;"","✓ Updated",IF(A22+6&gt;=TODAY(),"Due Friday","⚠ Missing")))</f>
        <v/>
      </c>
    </row>
    <row r="23">
      <c r="A23" s="35" t="n">
        <v>46349</v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7" t="n"/>
      <c r="T23" s="37" t="n"/>
      <c r="U23" s="37" t="n"/>
      <c r="V23" s="38" t="n"/>
      <c r="W23" s="38" t="n"/>
      <c r="X23" s="38" t="n"/>
      <c r="Y23" s="39" t="n"/>
      <c r="Z23" s="11">
        <f>IF(A23&gt;TODAY(),"Upcoming",IF(Y23&lt;&gt;"","✓ Updated",IF(A23+6&gt;=TODAY(),"Due Friday","⚠ Missing")))</f>
        <v/>
      </c>
    </row>
    <row r="24">
      <c r="A24" s="35" t="n">
        <v>46356</v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7" t="n"/>
      <c r="T24" s="37" t="n"/>
      <c r="U24" s="37" t="n"/>
      <c r="V24" s="38" t="n"/>
      <c r="W24" s="38" t="n"/>
      <c r="X24" s="38" t="n"/>
      <c r="Y24" s="39" t="n"/>
      <c r="Z24" s="11">
        <f>IF(A24&gt;TODAY(),"Upcoming",IF(Y24&lt;&gt;"","✓ Updated",IF(A24+6&gt;=TODAY(),"Due Friday","⚠ Missing")))</f>
        <v/>
      </c>
    </row>
    <row r="25">
      <c r="A25" s="35" t="n">
        <v>46363</v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7" t="n"/>
      <c r="T25" s="37" t="n"/>
      <c r="U25" s="37" t="n"/>
      <c r="V25" s="38" t="n"/>
      <c r="W25" s="38" t="n"/>
      <c r="X25" s="38" t="n"/>
      <c r="Y25" s="39" t="n"/>
      <c r="Z25" s="11">
        <f>IF(A25&gt;TODAY(),"Upcoming",IF(Y25&lt;&gt;"","✓ Updated",IF(A25+6&gt;=TODAY(),"Due Friday","⚠ Missing")))</f>
        <v/>
      </c>
    </row>
    <row r="26">
      <c r="A26" s="35" t="n">
        <v>46370</v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7" t="n"/>
      <c r="T26" s="37" t="n"/>
      <c r="U26" s="37" t="n"/>
      <c r="V26" s="38" t="n"/>
      <c r="W26" s="38" t="n"/>
      <c r="X26" s="38" t="n"/>
      <c r="Y26" s="39" t="n"/>
      <c r="Z26" s="11">
        <f>IF(A26&gt;TODAY(),"Upcoming",IF(Y26&lt;&gt;"","✓ Updated",IF(A26+6&gt;=TODAY(),"Due Friday","⚠ Missing")))</f>
        <v/>
      </c>
    </row>
    <row r="27">
      <c r="A27" s="35" t="n">
        <v>46377</v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7" t="n"/>
      <c r="T27" s="37" t="n"/>
      <c r="U27" s="37" t="n"/>
      <c r="V27" s="38" t="n"/>
      <c r="W27" s="38" t="n"/>
      <c r="X27" s="38" t="n"/>
      <c r="Y27" s="39" t="n"/>
      <c r="Z27" s="11">
        <f>IF(A27&gt;TODAY(),"Upcoming",IF(Y27&lt;&gt;"","✓ Updated",IF(A27+6&gt;=TODAY(),"Due Friday","⚠ Missing")))</f>
        <v/>
      </c>
    </row>
    <row r="28">
      <c r="A28" s="35" t="n">
        <v>46384</v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7" t="n"/>
      <c r="T28" s="37" t="n"/>
      <c r="U28" s="37" t="n"/>
      <c r="V28" s="38" t="n"/>
      <c r="W28" s="38" t="n"/>
      <c r="X28" s="38" t="n"/>
      <c r="Y28" s="39" t="n"/>
      <c r="Z28" s="11">
        <f>IF(A28&gt;TODAY(),"Upcoming",IF(Y28&lt;&gt;"","✓ Updated",IF(A28+6&gt;=TODAY(),"Due Friday","⚠ Missing")))</f>
        <v/>
      </c>
    </row>
    <row r="29">
      <c r="A29" s="35" t="n">
        <v>46391</v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7" t="n"/>
      <c r="T29" s="37" t="n"/>
      <c r="U29" s="37" t="n"/>
      <c r="V29" s="38" t="n"/>
      <c r="W29" s="38" t="n"/>
      <c r="X29" s="38" t="n"/>
      <c r="Y29" s="39" t="n"/>
      <c r="Z29" s="11">
        <f>IF(A29&gt;TODAY(),"Upcoming",IF(Y29&lt;&gt;"","✓ Updated",IF(A29+6&gt;=TODAY(),"Due Friday","⚠ Missing")))</f>
        <v/>
      </c>
    </row>
    <row r="30">
      <c r="A30" s="35" t="n">
        <v>46398</v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7" t="n"/>
      <c r="T30" s="37" t="n"/>
      <c r="U30" s="37" t="n"/>
      <c r="V30" s="38" t="n"/>
      <c r="W30" s="38" t="n"/>
      <c r="X30" s="38" t="n"/>
      <c r="Y30" s="39" t="n"/>
      <c r="Z30" s="11">
        <f>IF(A30&gt;TODAY(),"Upcoming",IF(Y30&lt;&gt;"","✓ Updated",IF(A30+6&gt;=TODAY(),"Due Friday","⚠ Missing")))</f>
        <v/>
      </c>
    </row>
    <row r="31">
      <c r="A31" s="35" t="n">
        <v>46405</v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7" t="n"/>
      <c r="T31" s="37" t="n"/>
      <c r="U31" s="37" t="n"/>
      <c r="V31" s="38" t="n"/>
      <c r="W31" s="38" t="n"/>
      <c r="X31" s="38" t="n"/>
      <c r="Y31" s="39" t="n"/>
      <c r="Z31" s="11">
        <f>IF(A31&gt;TODAY(),"Upcoming",IF(Y31&lt;&gt;"","✓ Updated",IF(A31+6&gt;=TODAY(),"Due Friday","⚠ Missing")))</f>
        <v/>
      </c>
    </row>
    <row r="32">
      <c r="A32" s="35" t="n">
        <v>46412</v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7" t="n"/>
      <c r="T32" s="37" t="n"/>
      <c r="U32" s="37" t="n"/>
      <c r="V32" s="38" t="n"/>
      <c r="W32" s="38" t="n"/>
      <c r="X32" s="38" t="n"/>
      <c r="Y32" s="39" t="n"/>
      <c r="Z32" s="11">
        <f>IF(A32&gt;TODAY(),"Upcoming",IF(Y32&lt;&gt;"","✓ Updated",IF(A32+6&gt;=TODAY(),"Due Friday","⚠ Missing")))</f>
        <v/>
      </c>
    </row>
    <row r="33">
      <c r="A33" s="35" t="n">
        <v>46419</v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7" t="n"/>
      <c r="T33" s="37" t="n"/>
      <c r="U33" s="37" t="n"/>
      <c r="V33" s="38" t="n"/>
      <c r="W33" s="38" t="n"/>
      <c r="X33" s="38" t="n"/>
      <c r="Y33" s="39" t="n"/>
      <c r="Z33" s="11">
        <f>IF(A33&gt;TODAY(),"Upcoming",IF(Y33&lt;&gt;"","✓ Updated",IF(A33+6&gt;=TODAY(),"Due Friday","⚠ Missing")))</f>
        <v/>
      </c>
    </row>
    <row r="34">
      <c r="A34" s="35" t="n">
        <v>46426</v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7" t="n"/>
      <c r="T34" s="37" t="n"/>
      <c r="U34" s="37" t="n"/>
      <c r="V34" s="38" t="n"/>
      <c r="W34" s="38" t="n"/>
      <c r="X34" s="38" t="n"/>
      <c r="Y34" s="39" t="n"/>
      <c r="Z34" s="11">
        <f>IF(A34&gt;TODAY(),"Upcoming",IF(Y34&lt;&gt;"","✓ Updated",IF(A34+6&gt;=TODAY(),"Due Friday","⚠ Missing")))</f>
        <v/>
      </c>
    </row>
    <row r="35">
      <c r="A35" s="35" t="n">
        <v>46433</v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7" t="n"/>
      <c r="T35" s="37" t="n"/>
      <c r="U35" s="37" t="n"/>
      <c r="V35" s="38" t="n"/>
      <c r="W35" s="38" t="n"/>
      <c r="X35" s="38" t="n"/>
      <c r="Y35" s="39" t="n"/>
      <c r="Z35" s="11">
        <f>IF(A35&gt;TODAY(),"Upcoming",IF(Y35&lt;&gt;"","✓ Updated",IF(A35+6&gt;=TODAY(),"Due Friday","⚠ Missing")))</f>
        <v/>
      </c>
    </row>
    <row r="36">
      <c r="A36" s="35" t="n">
        <v>46440</v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7" t="n"/>
      <c r="T36" s="37" t="n"/>
      <c r="U36" s="37" t="n"/>
      <c r="V36" s="38" t="n"/>
      <c r="W36" s="38" t="n"/>
      <c r="X36" s="38" t="n"/>
      <c r="Y36" s="39" t="n"/>
      <c r="Z36" s="11">
        <f>IF(A36&gt;TODAY(),"Upcoming",IF(Y36&lt;&gt;"","✓ Updated",IF(A36+6&gt;=TODAY(),"Due Friday","⚠ Missing")))</f>
        <v/>
      </c>
    </row>
    <row r="37">
      <c r="A37" s="35" t="n">
        <v>46447</v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7" t="n"/>
      <c r="T37" s="37" t="n"/>
      <c r="U37" s="37" t="n"/>
      <c r="V37" s="38" t="n"/>
      <c r="W37" s="38" t="n"/>
      <c r="X37" s="38" t="n"/>
      <c r="Y37" s="39" t="n"/>
      <c r="Z37" s="11">
        <f>IF(A37&gt;TODAY(),"Upcoming",IF(Y37&lt;&gt;"","✓ Updated",IF(A37+6&gt;=TODAY(),"Due Friday","⚠ Missing")))</f>
        <v/>
      </c>
    </row>
    <row r="38">
      <c r="A38" s="35" t="n">
        <v>46454</v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7" t="n"/>
      <c r="T38" s="37" t="n"/>
      <c r="U38" s="37" t="n"/>
      <c r="V38" s="38" t="n"/>
      <c r="W38" s="38" t="n"/>
      <c r="X38" s="38" t="n"/>
      <c r="Y38" s="39" t="n"/>
      <c r="Z38" s="11">
        <f>IF(A38&gt;TODAY(),"Upcoming",IF(Y38&lt;&gt;"","✓ Updated",IF(A38+6&gt;=TODAY(),"Due Friday","⚠ Missing")))</f>
        <v/>
      </c>
    </row>
    <row r="39">
      <c r="A39" s="35" t="n">
        <v>46461</v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7" t="n"/>
      <c r="T39" s="37" t="n"/>
      <c r="U39" s="37" t="n"/>
      <c r="V39" s="38" t="n"/>
      <c r="W39" s="38" t="n"/>
      <c r="X39" s="38" t="n"/>
      <c r="Y39" s="39" t="n"/>
      <c r="Z39" s="11">
        <f>IF(A39&gt;TODAY(),"Upcoming",IF(Y39&lt;&gt;"","✓ Updated",IF(A39+6&gt;=TODAY(),"Due Friday","⚠ Missing")))</f>
        <v/>
      </c>
    </row>
    <row r="40">
      <c r="A40" s="35" t="n">
        <v>46468</v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7" t="n"/>
      <c r="T40" s="37" t="n"/>
      <c r="U40" s="37" t="n"/>
      <c r="V40" s="38" t="n"/>
      <c r="W40" s="38" t="n"/>
      <c r="X40" s="38" t="n"/>
      <c r="Y40" s="39" t="n"/>
      <c r="Z40" s="11">
        <f>IF(A40&gt;TODAY(),"Upcoming",IF(Y40&lt;&gt;"","✓ Updated",IF(A40+6&gt;=TODAY(),"Due Friday","⚠ Missing")))</f>
        <v/>
      </c>
    </row>
    <row r="41">
      <c r="A41" s="35" t="n">
        <v>46475</v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7" t="n"/>
      <c r="T41" s="37" t="n"/>
      <c r="U41" s="37" t="n"/>
      <c r="V41" s="38" t="n"/>
      <c r="W41" s="38" t="n"/>
      <c r="X41" s="38" t="n"/>
      <c r="Y41" s="39" t="n"/>
      <c r="Z41" s="11">
        <f>IF(A41&gt;TODAY(),"Upcoming",IF(Y41&lt;&gt;"","✓ Updated",IF(A41+6&gt;=TODAY(),"Due Friday","⚠ Missing")))</f>
        <v/>
      </c>
    </row>
    <row r="42">
      <c r="A42" s="35" t="n">
        <v>46482</v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7" t="n"/>
      <c r="T42" s="37" t="n"/>
      <c r="U42" s="37" t="n"/>
      <c r="V42" s="38" t="n"/>
      <c r="W42" s="38" t="n"/>
      <c r="X42" s="38" t="n"/>
      <c r="Y42" s="39" t="n"/>
      <c r="Z42" s="11">
        <f>IF(A42&gt;TODAY(),"Upcoming",IF(Y42&lt;&gt;"","✓ Updated",IF(A42+6&gt;=TODAY(),"Due Friday","⚠ Missing")))</f>
        <v/>
      </c>
    </row>
    <row r="43">
      <c r="A43" s="35" t="n">
        <v>46489</v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7" t="n"/>
      <c r="T43" s="37" t="n"/>
      <c r="U43" s="37" t="n"/>
      <c r="V43" s="38" t="n"/>
      <c r="W43" s="38" t="n"/>
      <c r="X43" s="38" t="n"/>
      <c r="Y43" s="39" t="n"/>
      <c r="Z43" s="11">
        <f>IF(A43&gt;TODAY(),"Upcoming",IF(Y43&lt;&gt;"","✓ Updated",IF(A43+6&gt;=TODAY(),"Due Friday","⚠ Missing")))</f>
        <v/>
      </c>
    </row>
    <row r="44">
      <c r="A44" s="35" t="n">
        <v>46496</v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7" t="n"/>
      <c r="T44" s="37" t="n"/>
      <c r="U44" s="37" t="n"/>
      <c r="V44" s="38" t="n"/>
      <c r="W44" s="38" t="n"/>
      <c r="X44" s="38" t="n"/>
      <c r="Y44" s="39" t="n"/>
      <c r="Z44" s="11">
        <f>IF(A44&gt;TODAY(),"Upcoming",IF(Y44&lt;&gt;"","✓ Updated",IF(A44+6&gt;=TODAY(),"Due Friday","⚠ Missing")))</f>
        <v/>
      </c>
    </row>
    <row r="45">
      <c r="A45" s="35" t="n">
        <v>46503</v>
      </c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7" t="n"/>
      <c r="T45" s="37" t="n"/>
      <c r="U45" s="37" t="n"/>
      <c r="V45" s="38" t="n"/>
      <c r="W45" s="38" t="n"/>
      <c r="X45" s="38" t="n"/>
      <c r="Y45" s="39" t="n"/>
      <c r="Z45" s="11">
        <f>IF(A45&gt;TODAY(),"Upcoming",IF(Y45&lt;&gt;"","✓ Updated",IF(A45+6&gt;=TODAY(),"Due Friday","⚠ Missing")))</f>
        <v/>
      </c>
    </row>
    <row r="46">
      <c r="A46" s="35" t="n">
        <v>46510</v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7" t="n"/>
      <c r="T46" s="37" t="n"/>
      <c r="U46" s="37" t="n"/>
      <c r="V46" s="38" t="n"/>
      <c r="W46" s="38" t="n"/>
      <c r="X46" s="38" t="n"/>
      <c r="Y46" s="39" t="n"/>
      <c r="Z46" s="11">
        <f>IF(A46&gt;TODAY(),"Upcoming",IF(Y46&lt;&gt;"","✓ Updated",IF(A46+6&gt;=TODAY(),"Due Friday","⚠ Missing")))</f>
        <v/>
      </c>
    </row>
    <row r="47">
      <c r="A47" s="35" t="n">
        <v>46517</v>
      </c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7" t="n"/>
      <c r="T47" s="37" t="n"/>
      <c r="U47" s="37" t="n"/>
      <c r="V47" s="38" t="n"/>
      <c r="W47" s="38" t="n"/>
      <c r="X47" s="38" t="n"/>
      <c r="Y47" s="39" t="n"/>
      <c r="Z47" s="11">
        <f>IF(A47&gt;TODAY(),"Upcoming",IF(Y47&lt;&gt;"","✓ Updated",IF(A47+6&gt;=TODAY(),"Due Friday","⚠ Missing")))</f>
        <v/>
      </c>
    </row>
    <row r="48">
      <c r="A48" s="35" t="n">
        <v>46524</v>
      </c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7" t="n"/>
      <c r="T48" s="37" t="n"/>
      <c r="U48" s="37" t="n"/>
      <c r="V48" s="38" t="n"/>
      <c r="W48" s="38" t="n"/>
      <c r="X48" s="38" t="n"/>
      <c r="Y48" s="39" t="n"/>
      <c r="Z48" s="11">
        <f>IF(A48&gt;TODAY(),"Upcoming",IF(Y48&lt;&gt;"","✓ Updated",IF(A48+6&gt;=TODAY(),"Due Friday","⚠ Missing")))</f>
        <v/>
      </c>
    </row>
    <row r="49">
      <c r="A49" s="35" t="n">
        <v>46531</v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7" t="n"/>
      <c r="T49" s="37" t="n"/>
      <c r="U49" s="37" t="n"/>
      <c r="V49" s="38" t="n"/>
      <c r="W49" s="38" t="n"/>
      <c r="X49" s="38" t="n"/>
      <c r="Y49" s="39" t="n"/>
      <c r="Z49" s="11">
        <f>IF(A49&gt;TODAY(),"Upcoming",IF(Y49&lt;&gt;"","✓ Updated",IF(A49+6&gt;=TODAY(),"Due Friday","⚠ Missing")))</f>
        <v/>
      </c>
    </row>
    <row r="50">
      <c r="A50" s="35" t="n">
        <v>46538</v>
      </c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7" t="n"/>
      <c r="T50" s="37" t="n"/>
      <c r="U50" s="37" t="n"/>
      <c r="V50" s="38" t="n"/>
      <c r="W50" s="38" t="n"/>
      <c r="X50" s="38" t="n"/>
      <c r="Y50" s="39" t="n"/>
      <c r="Z50" s="11">
        <f>IF(A50&gt;TODAY(),"Upcoming",IF(Y50&lt;&gt;"","✓ Updated",IF(A50+6&gt;=TODAY(),"Due Friday","⚠ Missing")))</f>
        <v/>
      </c>
    </row>
    <row r="51">
      <c r="A51" s="35" t="n">
        <v>46545</v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7" t="n"/>
      <c r="T51" s="37" t="n"/>
      <c r="U51" s="37" t="n"/>
      <c r="V51" s="38" t="n"/>
      <c r="W51" s="38" t="n"/>
      <c r="X51" s="38" t="n"/>
      <c r="Y51" s="39" t="n"/>
      <c r="Z51" s="11">
        <f>IF(A51&gt;TODAY(),"Upcoming",IF(Y51&lt;&gt;"","✓ Updated",IF(A51+6&gt;=TODAY(),"Due Friday","⚠ Missing")))</f>
        <v/>
      </c>
    </row>
    <row r="52">
      <c r="A52" s="35" t="n">
        <v>46552</v>
      </c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7" t="n"/>
      <c r="T52" s="37" t="n"/>
      <c r="U52" s="37" t="n"/>
      <c r="V52" s="38" t="n"/>
      <c r="W52" s="38" t="n"/>
      <c r="X52" s="38" t="n"/>
      <c r="Y52" s="39" t="n"/>
      <c r="Z52" s="11">
        <f>IF(A52&gt;TODAY(),"Upcoming",IF(Y52&lt;&gt;"","✓ Updated",IF(A52+6&gt;=TODAY(),"Due Friday","⚠ Missing")))</f>
        <v/>
      </c>
    </row>
    <row r="53">
      <c r="A53" s="35" t="n">
        <v>46559</v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7" t="n"/>
      <c r="T53" s="37" t="n"/>
      <c r="U53" s="37" t="n"/>
      <c r="V53" s="38" t="n"/>
      <c r="W53" s="38" t="n"/>
      <c r="X53" s="38" t="n"/>
      <c r="Y53" s="39" t="n"/>
      <c r="Z53" s="11">
        <f>IF(A53&gt;TODAY(),"Upcoming",IF(Y53&lt;&gt;"","✓ Updated",IF(A53+6&gt;=TODAY(),"Due Friday","⚠ Missing")))</f>
        <v/>
      </c>
    </row>
    <row r="54">
      <c r="A54" s="35" t="n">
        <v>46566</v>
      </c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7" t="n"/>
      <c r="T54" s="37" t="n"/>
      <c r="U54" s="37" t="n"/>
      <c r="V54" s="38" t="n"/>
      <c r="W54" s="38" t="n"/>
      <c r="X54" s="38" t="n"/>
      <c r="Y54" s="39" t="n"/>
      <c r="Z54" s="11">
        <f>IF(A54&gt;TODAY(),"Upcoming",IF(Y54&lt;&gt;"","✓ Updated",IF(A54+6&gt;=TODAY(),"Due Friday","⚠ Missing")))</f>
        <v/>
      </c>
    </row>
    <row r="55">
      <c r="A55" s="35" t="n">
        <v>46573</v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7" t="n"/>
      <c r="T55" s="37" t="n"/>
      <c r="U55" s="37" t="n"/>
      <c r="V55" s="38" t="n"/>
      <c r="W55" s="38" t="n"/>
      <c r="X55" s="38" t="n"/>
      <c r="Y55" s="39" t="n"/>
      <c r="Z55" s="11">
        <f>IF(A55&gt;TODAY(),"Upcoming",IF(Y55&lt;&gt;"","✓ Updated",IF(A55+6&gt;=TODAY(),"Due Friday","⚠ Missing")))</f>
        <v/>
      </c>
    </row>
    <row r="56">
      <c r="A56" s="35" t="n">
        <v>46580</v>
      </c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7" t="n"/>
      <c r="T56" s="37" t="n"/>
      <c r="U56" s="37" t="n"/>
      <c r="V56" s="38" t="n"/>
      <c r="W56" s="38" t="n"/>
      <c r="X56" s="38" t="n"/>
      <c r="Y56" s="39" t="n"/>
      <c r="Z56" s="11">
        <f>IF(A56&gt;TODAY(),"Upcoming",IF(Y56&lt;&gt;"","✓ Updated",IF(A56+6&gt;=TODAY(),"Due Friday","⚠ Missing")))</f>
        <v/>
      </c>
    </row>
    <row r="57">
      <c r="A57" s="35" t="n">
        <v>46587</v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7" t="n"/>
      <c r="T57" s="37" t="n"/>
      <c r="U57" s="37" t="n"/>
      <c r="V57" s="38" t="n"/>
      <c r="W57" s="38" t="n"/>
      <c r="X57" s="38" t="n"/>
      <c r="Y57" s="39" t="n"/>
      <c r="Z57" s="11">
        <f>IF(A57&gt;TODAY(),"Upcoming",IF(Y57&lt;&gt;"","✓ Updated",IF(A57+6&gt;=TODAY(),"Due Friday","⚠ Missing")))</f>
        <v/>
      </c>
    </row>
    <row r="58">
      <c r="A58" s="35" t="n">
        <v>46594</v>
      </c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7" t="n"/>
      <c r="T58" s="37" t="n"/>
      <c r="U58" s="37" t="n"/>
      <c r="V58" s="38" t="n"/>
      <c r="W58" s="38" t="n"/>
      <c r="X58" s="38" t="n"/>
      <c r="Y58" s="39" t="n"/>
      <c r="Z58" s="11">
        <f>IF(A58&gt;TODAY(),"Upcoming",IF(Y58&lt;&gt;"","✓ Updated",IF(A58+6&gt;=TODAY(),"Due Friday","⚠ Missing")))</f>
        <v/>
      </c>
    </row>
    <row r="59">
      <c r="A59" s="35" t="n">
        <v>46601</v>
      </c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7" t="n"/>
      <c r="T59" s="37" t="n"/>
      <c r="U59" s="37" t="n"/>
      <c r="V59" s="38" t="n"/>
      <c r="W59" s="38" t="n"/>
      <c r="X59" s="38" t="n"/>
      <c r="Y59" s="39" t="n"/>
      <c r="Z59" s="11">
        <f>IF(A59&gt;TODAY(),"Upcoming",IF(Y59&lt;&gt;"","✓ Updated",IF(A59+6&gt;=TODAY(),"Due Friday","⚠ Missing")))</f>
        <v/>
      </c>
    </row>
    <row r="60">
      <c r="A60" s="35" t="n">
        <v>46608</v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7" t="n"/>
      <c r="T60" s="37" t="n"/>
      <c r="U60" s="37" t="n"/>
      <c r="V60" s="38" t="n"/>
      <c r="W60" s="38" t="n"/>
      <c r="X60" s="38" t="n"/>
      <c r="Y60" s="39" t="n"/>
      <c r="Z60" s="11">
        <f>IF(A60&gt;TODAY(),"Upcoming",IF(Y60&lt;&gt;"","✓ Updated",IF(A60+6&gt;=TODAY(),"Due Friday","⚠ Missing")))</f>
        <v/>
      </c>
    </row>
    <row r="61">
      <c r="A61" s="35" t="n">
        <v>46615</v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7" t="n"/>
      <c r="T61" s="37" t="n"/>
      <c r="U61" s="37" t="n"/>
      <c r="V61" s="38" t="n"/>
      <c r="W61" s="38" t="n"/>
      <c r="X61" s="38" t="n"/>
      <c r="Y61" s="39" t="n"/>
      <c r="Z61" s="11">
        <f>IF(A61&gt;TODAY(),"Upcoming",IF(Y61&lt;&gt;"","✓ Updated",IF(A61+6&gt;=TODAY(),"Due Friday","⚠ Missing")))</f>
        <v/>
      </c>
    </row>
    <row r="62">
      <c r="A62" s="35" t="n">
        <v>46622</v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7" t="n"/>
      <c r="T62" s="37" t="n"/>
      <c r="U62" s="37" t="n"/>
      <c r="V62" s="38" t="n"/>
      <c r="W62" s="38" t="n"/>
      <c r="X62" s="38" t="n"/>
      <c r="Y62" s="39" t="n"/>
      <c r="Z62" s="11">
        <f>IF(A62&gt;TODAY(),"Upcoming",IF(Y62&lt;&gt;"","✓ Updated",IF(A62+6&gt;=TODAY(),"Due Friday","⚠ Missing")))</f>
        <v/>
      </c>
    </row>
    <row r="63">
      <c r="A63" s="35" t="n">
        <v>46629</v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7" t="n"/>
      <c r="T63" s="37" t="n"/>
      <c r="U63" s="37" t="n"/>
      <c r="V63" s="38" t="n"/>
      <c r="W63" s="38" t="n"/>
      <c r="X63" s="38" t="n"/>
      <c r="Y63" s="39" t="n"/>
      <c r="Z63" s="11">
        <f>IF(A63&gt;TODAY(),"Upcoming",IF(Y63&lt;&gt;"","✓ Updated",IF(A63+6&gt;=TODAY(),"Due Friday","⚠ Missing")))</f>
        <v/>
      </c>
    </row>
    <row r="64">
      <c r="A64" s="35" t="n">
        <v>46636</v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7" t="n"/>
      <c r="T64" s="37" t="n"/>
      <c r="U64" s="37" t="n"/>
      <c r="V64" s="38" t="n"/>
      <c r="W64" s="38" t="n"/>
      <c r="X64" s="38" t="n"/>
      <c r="Y64" s="39" t="n"/>
      <c r="Z64" s="11">
        <f>IF(A64&gt;TODAY(),"Upcoming",IF(Y64&lt;&gt;"","✓ Updated",IF(A64+6&gt;=TODAY(),"Due Friday","⚠ Missing")))</f>
        <v/>
      </c>
    </row>
    <row r="65">
      <c r="A65" s="35" t="n">
        <v>46643</v>
      </c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7" t="n"/>
      <c r="T65" s="37" t="n"/>
      <c r="U65" s="37" t="n"/>
      <c r="V65" s="38" t="n"/>
      <c r="W65" s="38" t="n"/>
      <c r="X65" s="38" t="n"/>
      <c r="Y65" s="39" t="n"/>
      <c r="Z65" s="11">
        <f>IF(A65&gt;TODAY(),"Upcoming",IF(Y65&lt;&gt;"","✓ Updated",IF(A65+6&gt;=TODAY(),"Due Friday","⚠ Missing")))</f>
        <v/>
      </c>
    </row>
    <row r="66">
      <c r="A66" s="35" t="n">
        <v>46650</v>
      </c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7" t="n"/>
      <c r="T66" s="37" t="n"/>
      <c r="U66" s="37" t="n"/>
      <c r="V66" s="38" t="n"/>
      <c r="W66" s="38" t="n"/>
      <c r="X66" s="38" t="n"/>
      <c r="Y66" s="39" t="n"/>
      <c r="Z66" s="11">
        <f>IF(A66&gt;TODAY(),"Upcoming",IF(Y66&lt;&gt;"","✓ Updated",IF(A66+6&gt;=TODAY(),"Due Friday","⚠ Missing")))</f>
        <v/>
      </c>
    </row>
    <row r="67">
      <c r="A67" s="35" t="n">
        <v>46657</v>
      </c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7" t="n"/>
      <c r="T67" s="37" t="n"/>
      <c r="U67" s="37" t="n"/>
      <c r="V67" s="38" t="n"/>
      <c r="W67" s="38" t="n"/>
      <c r="X67" s="38" t="n"/>
      <c r="Y67" s="39" t="n"/>
      <c r="Z67" s="11">
        <f>IF(A67&gt;TODAY(),"Upcoming",IF(Y67&lt;&gt;"","✓ Updated",IF(A67+6&gt;=TODAY(),"Due Friday","⚠ Missing")))</f>
        <v/>
      </c>
    </row>
    <row r="68">
      <c r="A68" s="35" t="n">
        <v>46664</v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7" t="n"/>
      <c r="T68" s="37" t="n"/>
      <c r="U68" s="37" t="n"/>
      <c r="V68" s="38" t="n"/>
      <c r="W68" s="38" t="n"/>
      <c r="X68" s="38" t="n"/>
      <c r="Y68" s="39" t="n"/>
      <c r="Z68" s="11">
        <f>IF(A68&gt;TODAY(),"Upcoming",IF(Y68&lt;&gt;"","✓ Updated",IF(A68+6&gt;=TODAY(),"Due Friday","⚠ Missing")))</f>
        <v/>
      </c>
    </row>
    <row r="69">
      <c r="A69" s="35" t="n">
        <v>46671</v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7" t="n"/>
      <c r="T69" s="37" t="n"/>
      <c r="U69" s="37" t="n"/>
      <c r="V69" s="38" t="n"/>
      <c r="W69" s="38" t="n"/>
      <c r="X69" s="38" t="n"/>
      <c r="Y69" s="39" t="n"/>
      <c r="Z69" s="11">
        <f>IF(A69&gt;TODAY(),"Upcoming",IF(Y69&lt;&gt;"","✓ Updated",IF(A69+6&gt;=TODAY(),"Due Friday","⚠ Missing")))</f>
        <v/>
      </c>
    </row>
    <row r="70">
      <c r="A70" s="35" t="n">
        <v>46678</v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7" t="n"/>
      <c r="T70" s="37" t="n"/>
      <c r="U70" s="37" t="n"/>
      <c r="V70" s="38" t="n"/>
      <c r="W70" s="38" t="n"/>
      <c r="X70" s="38" t="n"/>
      <c r="Y70" s="39" t="n"/>
      <c r="Z70" s="11">
        <f>IF(A70&gt;TODAY(),"Upcoming",IF(Y70&lt;&gt;"","✓ Updated",IF(A70+6&gt;=TODAY(),"Due Friday","⚠ Missing")))</f>
        <v/>
      </c>
    </row>
    <row r="71">
      <c r="A71" s="35" t="n">
        <v>46685</v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7" t="n"/>
      <c r="T71" s="37" t="n"/>
      <c r="U71" s="37" t="n"/>
      <c r="V71" s="38" t="n"/>
      <c r="W71" s="38" t="n"/>
      <c r="X71" s="38" t="n"/>
      <c r="Y71" s="39" t="n"/>
      <c r="Z71" s="11">
        <f>IF(A71&gt;TODAY(),"Upcoming",IF(Y71&lt;&gt;"","✓ Updated",IF(A71+6&gt;=TODAY(),"Due Friday","⚠ Missing")))</f>
        <v/>
      </c>
    </row>
    <row r="72">
      <c r="A72" s="35" t="n">
        <v>46692</v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7" t="n"/>
      <c r="T72" s="37" t="n"/>
      <c r="U72" s="37" t="n"/>
      <c r="V72" s="38" t="n"/>
      <c r="W72" s="38" t="n"/>
      <c r="X72" s="38" t="n"/>
      <c r="Y72" s="39" t="n"/>
      <c r="Z72" s="11">
        <f>IF(A72&gt;TODAY(),"Upcoming",IF(Y72&lt;&gt;"","✓ Updated",IF(A72+6&gt;=TODAY(),"Due Friday","⚠ Missing")))</f>
        <v/>
      </c>
    </row>
    <row r="73">
      <c r="A73" s="35" t="n">
        <v>46699</v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7" t="n"/>
      <c r="T73" s="37" t="n"/>
      <c r="U73" s="37" t="n"/>
      <c r="V73" s="38" t="n"/>
      <c r="W73" s="38" t="n"/>
      <c r="X73" s="38" t="n"/>
      <c r="Y73" s="39" t="n"/>
      <c r="Z73" s="11">
        <f>IF(A73&gt;TODAY(),"Upcoming",IF(Y73&lt;&gt;"","✓ Updated",IF(A73+6&gt;=TODAY(),"Due Friday","⚠ Missing")))</f>
        <v/>
      </c>
    </row>
    <row r="74">
      <c r="A74" s="35" t="n">
        <v>46706</v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7" t="n"/>
      <c r="T74" s="37" t="n"/>
      <c r="U74" s="37" t="n"/>
      <c r="V74" s="38" t="n"/>
      <c r="W74" s="38" t="n"/>
      <c r="X74" s="38" t="n"/>
      <c r="Y74" s="39" t="n"/>
      <c r="Z74" s="11">
        <f>IF(A74&gt;TODAY(),"Upcoming",IF(Y74&lt;&gt;"","✓ Updated",IF(A74+6&gt;=TODAY(),"Due Friday","⚠ Missing")))</f>
        <v/>
      </c>
    </row>
    <row r="75">
      <c r="A75" s="35" t="n">
        <v>46713</v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7" t="n"/>
      <c r="T75" s="37" t="n"/>
      <c r="U75" s="37" t="n"/>
      <c r="V75" s="38" t="n"/>
      <c r="W75" s="38" t="n"/>
      <c r="X75" s="38" t="n"/>
      <c r="Y75" s="39" t="n"/>
      <c r="Z75" s="11">
        <f>IF(A75&gt;TODAY(),"Upcoming",IF(Y75&lt;&gt;"","✓ Updated",IF(A75+6&gt;=TODAY(),"Due Friday","⚠ Missing")))</f>
        <v/>
      </c>
    </row>
    <row r="76">
      <c r="A76" s="35" t="n">
        <v>46720</v>
      </c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7" t="n"/>
      <c r="T76" s="37" t="n"/>
      <c r="U76" s="37" t="n"/>
      <c r="V76" s="38" t="n"/>
      <c r="W76" s="38" t="n"/>
      <c r="X76" s="38" t="n"/>
      <c r="Y76" s="39" t="n"/>
      <c r="Z76" s="11">
        <f>IF(A76&gt;TODAY(),"Upcoming",IF(Y76&lt;&gt;"","✓ Updated",IF(A76+6&gt;=TODAY(),"Due Friday","⚠ Missing")))</f>
        <v/>
      </c>
    </row>
    <row r="77">
      <c r="A77" s="35" t="n">
        <v>46727</v>
      </c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7" t="n"/>
      <c r="T77" s="37" t="n"/>
      <c r="U77" s="37" t="n"/>
      <c r="V77" s="38" t="n"/>
      <c r="W77" s="38" t="n"/>
      <c r="X77" s="38" t="n"/>
      <c r="Y77" s="39" t="n"/>
      <c r="Z77" s="11">
        <f>IF(A77&gt;TODAY(),"Upcoming",IF(Y77&lt;&gt;"","✓ Updated",IF(A77+6&gt;=TODAY(),"Due Friday","⚠ Missing")))</f>
        <v/>
      </c>
    </row>
    <row r="78">
      <c r="A78" s="35" t="n">
        <v>46734</v>
      </c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7" t="n"/>
      <c r="T78" s="37" t="n"/>
      <c r="U78" s="37" t="n"/>
      <c r="V78" s="38" t="n"/>
      <c r="W78" s="38" t="n"/>
      <c r="X78" s="38" t="n"/>
      <c r="Y78" s="39" t="n"/>
      <c r="Z78" s="11">
        <f>IF(A78&gt;TODAY(),"Upcoming",IF(Y78&lt;&gt;"","✓ Updated",IF(A78+6&gt;=TODAY(),"Due Friday","⚠ Missing")))</f>
        <v/>
      </c>
    </row>
    <row r="79">
      <c r="A79" s="35" t="n">
        <v>46741</v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7" t="n"/>
      <c r="T79" s="37" t="n"/>
      <c r="U79" s="37" t="n"/>
      <c r="V79" s="38" t="n"/>
      <c r="W79" s="38" t="n"/>
      <c r="X79" s="38" t="n"/>
      <c r="Y79" s="39" t="n"/>
      <c r="Z79" s="11">
        <f>IF(A79&gt;TODAY(),"Upcoming",IF(Y79&lt;&gt;"","✓ Updated",IF(A79+6&gt;=TODAY(),"Due Friday","⚠ Missing")))</f>
        <v/>
      </c>
    </row>
    <row r="80">
      <c r="A80" s="35" t="n">
        <v>46748</v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7" t="n"/>
      <c r="T80" s="37" t="n"/>
      <c r="U80" s="37" t="n"/>
      <c r="V80" s="38" t="n"/>
      <c r="W80" s="38" t="n"/>
      <c r="X80" s="38" t="n"/>
      <c r="Y80" s="39" t="n"/>
      <c r="Z80" s="11">
        <f>IF(A80&gt;TODAY(),"Upcoming",IF(Y80&lt;&gt;"","✓ Updated",IF(A80+6&gt;=TODAY(),"Due Friday","⚠ Missing")))</f>
        <v/>
      </c>
    </row>
  </sheetData>
  <mergeCells count="18">
    <mergeCell ref="H6:J6"/>
    <mergeCell ref="H10:J10"/>
    <mergeCell ref="A7:B7"/>
    <mergeCell ref="A1:Z1"/>
    <mergeCell ref="A11:B11"/>
    <mergeCell ref="H5:J5"/>
    <mergeCell ref="A10:B10"/>
    <mergeCell ref="A5:B5"/>
    <mergeCell ref="H8:J8"/>
    <mergeCell ref="H9:J9"/>
    <mergeCell ref="A4:F4"/>
    <mergeCell ref="A2:Z2"/>
    <mergeCell ref="A9:B9"/>
    <mergeCell ref="A8:B8"/>
    <mergeCell ref="H11:J11"/>
    <mergeCell ref="A6:B6"/>
    <mergeCell ref="H7:J7"/>
    <mergeCell ref="A12:B12"/>
  </mergeCells>
  <conditionalFormatting sqref="F6:F12">
    <cfRule type="cellIs" priority="1" operator="equal" dxfId="3">
      <formula>"On pace"</formula>
    </cfRule>
    <cfRule type="cellIs" priority="2" operator="equal" dxfId="4">
      <formula>"Behind"</formula>
    </cfRule>
  </conditionalFormatting>
  <conditionalFormatting sqref="Z15:Z80">
    <cfRule type="cellIs" priority="3" operator="equal" dxfId="0">
      <formula>"⚠ Missing"</formula>
    </cfRule>
    <cfRule type="cellIs" priority="4" operator="equal" dxfId="1">
      <formula>"✓ Updated"</formula>
    </cfRule>
    <cfRule type="cellIs" priority="5" operator="equal" dxfId="5">
      <formula>"Due Friday"</formula>
    </cfRule>
  </conditionalFormatting>
  <conditionalFormatting sqref="A15:X80">
    <cfRule type="expression" priority="6" dxfId="6">
      <formula>AND($A15&lt;=TODAY(),$A15+6&gt;=TODAY())</formula>
    </cfRule>
  </conditionalFormatting>
  <dataValidations count="1">
    <dataValidation sqref="B15:U80" showDropDown="0" showInputMessage="0" showErrorMessage="1" allowBlank="1" errorTitle="Numbers only" error="Please enter a number (0 or more)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/>
  </sheetPr>
  <dimension ref="A1:F3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22" customWidth="1" min="3" max="3"/>
    <col width="22" customWidth="1" min="4" max="4"/>
    <col width="22" customWidth="1" min="5" max="5"/>
    <col hidden="1" width="13" customWidth="1" min="6" max="6"/>
  </cols>
  <sheetData>
    <row r="1" ht="34" customHeight="1">
      <c r="A1" s="1">
        <f>IF('Settings'!B14="","Agent 1",'Settings'!B14)&amp;" — Business Development &amp; Growth Assessment"</f>
        <v/>
      </c>
    </row>
    <row r="2" ht="44" customHeight="1">
      <c r="A2" s="5" t="inlineStr">
        <is>
          <t>THE PRAEDIUM GROUP  •  This assessment helps us understand where you are today, where your time is going, and what training, structure, or support could help you grow. There are no “right” answers — answer based on what your business actually looks like today. Estimates are completely acceptable. Yellow cells are yours to fill in.</t>
        </is>
      </c>
    </row>
    <row r="3">
      <c r="B3" s="40" t="inlineStr">
        <is>
          <t>Completion:</t>
        </is>
      </c>
      <c r="C3" s="41">
        <f>IFERROR(SUMPRODUCT((F5:F400=1)*(C5:C400&lt;&gt;""))/SUM(F5:F400),0)</f>
        <v/>
      </c>
    </row>
    <row r="5" ht="24" customHeight="1">
      <c r="A5" s="42" t="inlineStr">
        <is>
          <t>1. ABOUT YOUR BUSINESS TODAY</t>
        </is>
      </c>
    </row>
    <row r="6">
      <c r="B6" s="43" t="inlineStr">
        <is>
          <t>Market Center / KW Office</t>
        </is>
      </c>
      <c r="C6" s="44" t="n"/>
      <c r="D6" s="28" t="n"/>
      <c r="E6" s="28" t="n"/>
      <c r="F6" t="n">
        <v>1</v>
      </c>
    </row>
    <row r="7">
      <c r="B7" s="43" t="inlineStr">
        <is>
          <t>How long have you been licensed in real estate?</t>
        </is>
      </c>
      <c r="C7" s="44" t="n"/>
      <c r="D7" s="28" t="n"/>
      <c r="E7" s="28" t="n"/>
      <c r="F7" t="n">
        <v>1</v>
      </c>
    </row>
    <row r="8">
      <c r="B8" s="43" t="inlineStr">
        <is>
          <t>How long have you actively worked in commercial real estate?</t>
        </is>
      </c>
      <c r="C8" s="44" t="n"/>
      <c r="D8" s="28" t="n"/>
      <c r="E8" s="28" t="n"/>
      <c r="F8" t="n">
        <v>1</v>
      </c>
    </row>
    <row r="9">
      <c r="B9" s="43" t="inlineStr">
        <is>
          <t>How would you describe your current real estate business?</t>
        </is>
      </c>
      <c r="C9" s="44" t="n"/>
      <c r="D9" s="28" t="n"/>
      <c r="E9" s="28" t="n"/>
      <c r="F9" t="n">
        <v>1</v>
      </c>
    </row>
    <row r="10" ht="48" customHeight="1">
      <c r="B10" s="43" t="inlineStr">
        <is>
          <t>If you selected Other, please explain:</t>
        </is>
      </c>
      <c r="C10" s="44" t="n"/>
      <c r="D10" s="28" t="n"/>
      <c r="E10" s="28" t="n"/>
      <c r="F10" t="n">
        <v>1</v>
      </c>
    </row>
    <row r="11">
      <c r="B11" s="43" t="inlineStr">
        <is>
          <t>Is real estate currently your primary occupation?</t>
        </is>
      </c>
      <c r="C11" s="44" t="n"/>
      <c r="D11" s="28" t="n"/>
      <c r="E11" s="28" t="n"/>
      <c r="F11" t="n">
        <v>1</v>
      </c>
    </row>
    <row r="12" ht="48" customHeight="1">
      <c r="B12" s="43" t="inlineStr">
        <is>
          <t>If not, what other work or major commitments currently compete for your time?</t>
        </is>
      </c>
      <c r="C12" s="44" t="n"/>
      <c r="D12" s="28" t="n"/>
      <c r="E12" s="28" t="n"/>
      <c r="F12" t="n">
        <v>1</v>
      </c>
    </row>
    <row r="14" ht="24" customHeight="1">
      <c r="A14" s="42" t="inlineStr">
        <is>
          <t>2. YOUR CURRENT WORK WEEK</t>
        </is>
      </c>
    </row>
    <row r="15" ht="28" customHeight="1">
      <c r="A15" s="45" t="inlineStr">
        <is>
          <t>We want to understand what your schedule actually looks like today.</t>
        </is>
      </c>
    </row>
    <row r="16">
      <c r="B16" s="43" t="inlineStr">
        <is>
          <t>On average, how many days per week do you currently spend working on real estate?</t>
        </is>
      </c>
      <c r="C16" s="44" t="n"/>
      <c r="D16" s="28" t="n"/>
      <c r="E16" s="28" t="n"/>
      <c r="F16" t="n">
        <v>1</v>
      </c>
    </row>
    <row r="17">
      <c r="B17" s="43" t="inlineStr">
        <is>
          <t>How many hours do you work on real estate during a typical day?</t>
        </is>
      </c>
      <c r="C17" s="44" t="n"/>
      <c r="D17" s="28" t="n"/>
      <c r="E17" s="28" t="n"/>
      <c r="F17" t="n">
        <v>1</v>
      </c>
    </row>
    <row r="18">
      <c r="B18" s="43" t="inlineStr">
        <is>
          <t>What time do you normally begin your workday?</t>
        </is>
      </c>
      <c r="C18" s="44" t="n"/>
      <c r="D18" s="28" t="n"/>
      <c r="E18" s="28" t="n"/>
      <c r="F18" t="n">
        <v>1</v>
      </c>
    </row>
    <row r="19">
      <c r="B19" s="43" t="inlineStr">
        <is>
          <t>What time do you normally finish your workday?</t>
        </is>
      </c>
      <c r="C19" s="44" t="n"/>
      <c r="D19" s="28" t="n"/>
      <c r="E19" s="28" t="n"/>
      <c r="F19" t="n">
        <v>1</v>
      </c>
    </row>
    <row r="20">
      <c r="B20" s="43" t="inlineStr">
        <is>
          <t>Is your schedule generally consistent from day to day?</t>
        </is>
      </c>
      <c r="C20" s="44" t="n"/>
      <c r="D20" s="28" t="n"/>
      <c r="E20" s="28" t="n"/>
      <c r="F20" t="n">
        <v>1</v>
      </c>
    </row>
    <row r="22">
      <c r="B22" s="46" t="inlineStr">
        <is>
          <t>Day</t>
        </is>
      </c>
      <c r="C22" s="46" t="inlineStr">
        <is>
          <t>Usually Work?</t>
        </is>
      </c>
      <c r="D22" s="46" t="inlineStr">
        <is>
          <t>Approx. Hours</t>
        </is>
      </c>
    </row>
    <row r="23">
      <c r="B23" s="47" t="inlineStr">
        <is>
          <t>Monday</t>
        </is>
      </c>
      <c r="C23" s="36" t="n"/>
      <c r="D23" s="36" t="n"/>
      <c r="F23" t="n">
        <v>1</v>
      </c>
    </row>
    <row r="24">
      <c r="B24" s="47" t="inlineStr">
        <is>
          <t>Tuesday</t>
        </is>
      </c>
      <c r="C24" s="36" t="n"/>
      <c r="D24" s="36" t="n"/>
      <c r="F24" t="n">
        <v>1</v>
      </c>
    </row>
    <row r="25">
      <c r="B25" s="47" t="inlineStr">
        <is>
          <t>Wednesday</t>
        </is>
      </c>
      <c r="C25" s="36" t="n"/>
      <c r="D25" s="36" t="n"/>
      <c r="F25" t="n">
        <v>1</v>
      </c>
    </row>
    <row r="26">
      <c r="B26" s="47" t="inlineStr">
        <is>
          <t>Thursday</t>
        </is>
      </c>
      <c r="C26" s="36" t="n"/>
      <c r="D26" s="36" t="n"/>
      <c r="F26" t="n">
        <v>1</v>
      </c>
    </row>
    <row r="27">
      <c r="B27" s="47" t="inlineStr">
        <is>
          <t>Friday</t>
        </is>
      </c>
      <c r="C27" s="36" t="n"/>
      <c r="D27" s="36" t="n"/>
      <c r="F27" t="n">
        <v>1</v>
      </c>
    </row>
    <row r="28">
      <c r="B28" s="47" t="inlineStr">
        <is>
          <t>Saturday</t>
        </is>
      </c>
      <c r="C28" s="36" t="n"/>
      <c r="D28" s="36" t="n"/>
      <c r="F28" t="n">
        <v>1</v>
      </c>
    </row>
    <row r="29">
      <c r="B29" s="47" t="inlineStr">
        <is>
          <t>Sunday</t>
        </is>
      </c>
      <c r="C29" s="36" t="n"/>
      <c r="D29" s="36" t="n"/>
      <c r="F29" t="n">
        <v>1</v>
      </c>
    </row>
    <row r="31">
      <c r="B31" s="48" t="inlineStr">
        <is>
          <t>How is your typical real estate week divided?</t>
        </is>
      </c>
    </row>
    <row r="32">
      <c r="B32" s="46" t="inlineStr">
        <is>
          <t>Area</t>
        </is>
      </c>
      <c r="C32" s="46" t="inlineStr">
        <is>
          <t>Hours / Week</t>
        </is>
      </c>
    </row>
    <row r="33">
      <c r="B33" s="47" t="inlineStr">
        <is>
          <t>Commercial Real Estate</t>
        </is>
      </c>
      <c r="C33" s="36" t="n"/>
      <c r="F33" t="n">
        <v>1</v>
      </c>
    </row>
    <row r="34">
      <c r="B34" s="47" t="inlineStr">
        <is>
          <t>Residential Real Estate</t>
        </is>
      </c>
      <c r="C34" s="36" t="n"/>
      <c r="F34" t="n">
        <v>1</v>
      </c>
    </row>
    <row r="35">
      <c r="B35" s="47" t="inlineStr">
        <is>
          <t>Administrative / Business Operations</t>
        </is>
      </c>
      <c r="C35" s="36" t="n"/>
      <c r="F35" t="n">
        <v>1</v>
      </c>
    </row>
    <row r="36">
      <c r="B36" s="47" t="inlineStr">
        <is>
          <t>Other</t>
        </is>
      </c>
      <c r="C36" s="36" t="n"/>
      <c r="F36" t="n">
        <v>1</v>
      </c>
    </row>
    <row r="37">
      <c r="B37" s="49" t="inlineStr">
        <is>
          <t>TOTAL</t>
        </is>
      </c>
      <c r="C37" s="50">
        <f>SUM(C33:C36)</f>
        <v/>
      </c>
    </row>
    <row r="38" ht="48" customHeight="1">
      <c r="B38" s="43" t="inlineStr">
        <is>
          <t>If Other, what does that time consist of?</t>
        </is>
      </c>
      <c r="C38" s="44" t="n"/>
      <c r="D38" s="28" t="n"/>
      <c r="E38" s="28" t="n"/>
      <c r="F38" t="n">
        <v>1</v>
      </c>
    </row>
    <row r="40" ht="24" customHeight="1">
      <c r="A40" s="42" t="inlineStr">
        <is>
          <t>3. WHERE DOES YOUR TIME ACTUALLY GO?</t>
        </is>
      </c>
    </row>
    <row r="41" ht="28" customHeight="1">
      <c r="A41" s="45" t="inlineStr">
        <is>
          <t>You do not need to track every minute. Think about a typical week and make your best estimate. Use this guide if you are unsure how to categorize something.</t>
        </is>
      </c>
    </row>
    <row r="42">
      <c r="B42" s="51" t="inlineStr">
        <is>
          <t>Category</t>
        </is>
      </c>
      <c r="C42" s="51" t="inlineStr">
        <is>
          <t>Examples</t>
        </is>
      </c>
    </row>
    <row r="43" ht="26" customHeight="1">
      <c r="B43" s="3" t="inlineStr">
        <is>
          <t>Prospecting / Business Development</t>
        </is>
      </c>
      <c r="C43" s="52" t="inlineStr">
        <is>
          <t>Cold calling, owner outreach, tenant outreach, email campaigns, canvassing, prospect research</t>
        </is>
      </c>
    </row>
    <row r="44" ht="26" customHeight="1">
      <c r="B44" s="3" t="inlineStr">
        <is>
          <t>Client / Deal Work</t>
        </is>
      </c>
      <c r="C44" s="52" t="inlineStr">
        <is>
          <t>Tours, client meetings, LOIs, contracts, negotiations, due diligence, inspections, closing coordination</t>
        </is>
      </c>
    </row>
    <row r="45" ht="26" customHeight="1">
      <c r="B45" s="3" t="inlineStr">
        <is>
          <t>Market Research</t>
        </is>
      </c>
      <c r="C45" s="52" t="inlineStr">
        <is>
          <t>Crexi, CoStar, GIS, Land id, researching ownership, comps, zoning, demographics</t>
        </is>
      </c>
    </row>
    <row r="46" ht="26" customHeight="1">
      <c r="B46" s="3" t="inlineStr">
        <is>
          <t>Follow-Up / CRM</t>
        </is>
      </c>
      <c r="C46" s="52" t="inlineStr">
        <is>
          <t>Returning calls, email follow-up, CRM updates, maintaining prospect lists</t>
        </is>
      </c>
    </row>
    <row r="47" ht="26" customHeight="1">
      <c r="B47" s="3" t="inlineStr">
        <is>
          <t>Networking / Sphere</t>
        </is>
      </c>
      <c r="C47" s="52" t="inlineStr">
        <is>
          <t>KW agents, attorneys, lenders, CPAs, developers, business owners, networking events</t>
        </is>
      </c>
    </row>
    <row r="48" ht="26" customHeight="1">
      <c r="B48" s="3" t="inlineStr">
        <is>
          <t>Marketing</t>
        </is>
      </c>
      <c r="C48" s="52" t="inlineStr">
        <is>
          <t>Social media, property marketing, flyers, listing materials, content creation</t>
        </is>
      </c>
    </row>
    <row r="49" ht="26" customHeight="1">
      <c r="B49" s="3" t="inlineStr">
        <is>
          <t>Residential</t>
        </is>
      </c>
      <c r="C49" s="52" t="inlineStr">
        <is>
          <t>Residential prospecting, showings, listings, buyers, contracts, closings</t>
        </is>
      </c>
    </row>
    <row r="50" ht="26" customHeight="1">
      <c r="B50" s="3" t="inlineStr">
        <is>
          <t>Administrative</t>
        </is>
      </c>
      <c r="C50" s="52" t="inlineStr">
        <is>
          <t>Paperwork, scheduling, expense tracking, file organization, general admin</t>
        </is>
      </c>
    </row>
    <row r="51" ht="26" customHeight="1">
      <c r="B51" s="3" t="inlineStr">
        <is>
          <t>Training / Development</t>
        </is>
      </c>
      <c r="C51" s="52" t="inlineStr">
        <is>
          <t>Courses, meetings, CRE training, technology training, role-playing</t>
        </is>
      </c>
    </row>
    <row r="52" ht="26" customHeight="1">
      <c r="B52" s="3" t="inlineStr">
        <is>
          <t>Other</t>
        </is>
      </c>
      <c r="C52" s="52" t="inlineStr">
        <is>
          <t>Anything that does not reasonably fit above</t>
        </is>
      </c>
    </row>
    <row r="54">
      <c r="B54" s="46" t="inlineStr">
        <is>
          <t>Activity</t>
        </is>
      </c>
      <c r="C54" s="46" t="inlineStr">
        <is>
          <t>Approx. Hours / Week</t>
        </is>
      </c>
      <c r="D54" s="46" t="inlineStr">
        <is>
          <t>% of Real Estate Time</t>
        </is>
      </c>
    </row>
    <row r="55">
      <c r="B55" s="47" t="inlineStr">
        <is>
          <t>Commercial Prospecting / Business Development</t>
        </is>
      </c>
      <c r="C55" s="36" t="n"/>
      <c r="D55" s="53">
        <f>IFERROR(C55/SUM(C$55:C$64),"")</f>
        <v/>
      </c>
      <c r="F55" t="n">
        <v>1</v>
      </c>
    </row>
    <row r="56">
      <c r="B56" s="47" t="inlineStr">
        <is>
          <t>Commercial Client &amp; Deal Work</t>
        </is>
      </c>
      <c r="C56" s="36" t="n"/>
      <c r="D56" s="53">
        <f>IFERROR(C56/SUM(C$55:C$64),"")</f>
        <v/>
      </c>
      <c r="F56" t="n">
        <v>1</v>
      </c>
    </row>
    <row r="57">
      <c r="B57" s="47" t="inlineStr">
        <is>
          <t>Commercial Market Research</t>
        </is>
      </c>
      <c r="C57" s="36" t="n"/>
      <c r="D57" s="53">
        <f>IFERROR(C57/SUM(C$55:C$64),"")</f>
        <v/>
      </c>
      <c r="F57" t="n">
        <v>1</v>
      </c>
    </row>
    <row r="58">
      <c r="B58" s="47" t="inlineStr">
        <is>
          <t>Follow-Up / CRM</t>
        </is>
      </c>
      <c r="C58" s="36" t="n"/>
      <c r="D58" s="53">
        <f>IFERROR(C58/SUM(C$55:C$64),"")</f>
        <v/>
      </c>
      <c r="F58" t="n">
        <v>1</v>
      </c>
    </row>
    <row r="59">
      <c r="B59" s="47" t="inlineStr">
        <is>
          <t>Networking / Sphere Development</t>
        </is>
      </c>
      <c r="C59" s="36" t="n"/>
      <c r="D59" s="53">
        <f>IFERROR(C59/SUM(C$55:C$64),"")</f>
        <v/>
      </c>
      <c r="F59" t="n">
        <v>1</v>
      </c>
    </row>
    <row r="60">
      <c r="B60" s="47" t="inlineStr">
        <is>
          <t>Marketing / Content</t>
        </is>
      </c>
      <c r="C60" s="36" t="n"/>
      <c r="D60" s="53">
        <f>IFERROR(C60/SUM(C$55:C$64),"")</f>
        <v/>
      </c>
      <c r="F60" t="n">
        <v>1</v>
      </c>
    </row>
    <row r="61">
      <c r="B61" s="47" t="inlineStr">
        <is>
          <t>Residential Business</t>
        </is>
      </c>
      <c r="C61" s="36" t="n"/>
      <c r="D61" s="53">
        <f>IFERROR(C61/SUM(C$55:C$64),"")</f>
        <v/>
      </c>
      <c r="F61" t="n">
        <v>1</v>
      </c>
    </row>
    <row r="62">
      <c r="B62" s="47" t="inlineStr">
        <is>
          <t>Administrative Work</t>
        </is>
      </c>
      <c r="C62" s="36" t="n"/>
      <c r="D62" s="53">
        <f>IFERROR(C62/SUM(C$55:C$64),"")</f>
        <v/>
      </c>
      <c r="F62" t="n">
        <v>1</v>
      </c>
    </row>
    <row r="63">
      <c r="B63" s="47" t="inlineStr">
        <is>
          <t>Training / Professional Development</t>
        </is>
      </c>
      <c r="C63" s="36" t="n"/>
      <c r="D63" s="53">
        <f>IFERROR(C63/SUM(C$55:C$64),"")</f>
        <v/>
      </c>
      <c r="F63" t="n">
        <v>1</v>
      </c>
    </row>
    <row r="64">
      <c r="B64" s="47" t="inlineStr">
        <is>
          <t>Other</t>
        </is>
      </c>
      <c r="C64" s="36" t="n"/>
      <c r="D64" s="53">
        <f>IFERROR(C64/SUM(C$55:C$64),"")</f>
        <v/>
      </c>
      <c r="F64" t="n">
        <v>1</v>
      </c>
    </row>
    <row r="65">
      <c r="B65" s="49" t="inlineStr">
        <is>
          <t>TOTAL</t>
        </is>
      </c>
      <c r="C65" s="50">
        <f>SUM(C55:C64)</f>
        <v/>
      </c>
      <c r="D65" s="54">
        <f>IFERROR(SUM(D55:D64),"")</f>
        <v/>
      </c>
    </row>
    <row r="66" ht="48" customHeight="1">
      <c r="B66" s="43" t="inlineStr">
        <is>
          <t>If you listed time under Other, please explain:</t>
        </is>
      </c>
      <c r="C66" s="44" t="n"/>
      <c r="D66" s="28" t="n"/>
      <c r="E66" s="28" t="n"/>
      <c r="F66" t="n">
        <v>1</v>
      </c>
    </row>
    <row r="67" ht="48" customHeight="1">
      <c r="B67" s="43" t="inlineStr">
        <is>
          <t>Which activities take up the MOST time in your week?</t>
        </is>
      </c>
      <c r="C67" s="44" t="n"/>
      <c r="D67" s="28" t="n"/>
      <c r="E67" s="28" t="n"/>
      <c r="F67" t="n">
        <v>1</v>
      </c>
    </row>
    <row r="68" ht="48" customHeight="1">
      <c r="B68" s="43" t="inlineStr">
        <is>
          <t>Which activities are currently producing the MOST business for you?</t>
        </is>
      </c>
      <c r="C68" s="44" t="n"/>
      <c r="D68" s="28" t="n"/>
      <c r="E68" s="28" t="n"/>
      <c r="F68" t="n">
        <v>1</v>
      </c>
    </row>
    <row r="69" ht="48" customHeight="1">
      <c r="B69" s="43" t="inlineStr">
        <is>
          <t>What do you feel you are spending too much time doing?</t>
        </is>
      </c>
      <c r="C69" s="44" t="n"/>
      <c r="D69" s="28" t="n"/>
      <c r="E69" s="28" t="n"/>
      <c r="F69" t="n">
        <v>1</v>
      </c>
    </row>
    <row r="70" ht="48" customHeight="1">
      <c r="B70" s="43" t="inlineStr">
        <is>
          <t>What do you feel you are not spending enough time doing?</t>
        </is>
      </c>
      <c r="C70" s="44" t="n"/>
      <c r="D70" s="28" t="n"/>
      <c r="E70" s="28" t="n"/>
      <c r="F70" t="n">
        <v>1</v>
      </c>
    </row>
    <row r="72" ht="24" customHeight="1">
      <c r="A72" s="42" t="inlineStr">
        <is>
          <t>4. HOW DO YOU STRUCTURE YOUR DAY?</t>
        </is>
      </c>
    </row>
    <row r="73">
      <c r="B73" s="43" t="inlineStr">
        <is>
          <t>Do you currently plan your workday in advance?</t>
        </is>
      </c>
      <c r="C73" s="44" t="n"/>
      <c r="D73" s="28" t="n"/>
      <c r="E73" s="28" t="n"/>
      <c r="F73" t="n">
        <v>1</v>
      </c>
    </row>
    <row r="74">
      <c r="B74" s="43" t="inlineStr">
        <is>
          <t>Do you currently use time blocks for specific activities?</t>
        </is>
      </c>
      <c r="C74" s="44" t="n"/>
      <c r="D74" s="28" t="n"/>
      <c r="E74" s="28" t="n"/>
      <c r="F74" t="n">
        <v>1</v>
      </c>
    </row>
    <row r="75">
      <c r="B75" s="43" t="inlineStr">
        <is>
          <t>Do you have a dedicated prospecting period during your day?</t>
        </is>
      </c>
      <c r="C75" s="44" t="n"/>
      <c r="D75" s="28" t="n"/>
      <c r="E75" s="28" t="n"/>
      <c r="F75" t="n">
        <v>1</v>
      </c>
    </row>
    <row r="76">
      <c r="B76" s="43" t="inlineStr">
        <is>
          <t>If yes — typical prospecting time (e.g. 9:00–11:00 AM):</t>
        </is>
      </c>
      <c r="C76" s="44" t="n"/>
      <c r="D76" s="28" t="n"/>
      <c r="E76" s="28" t="n"/>
      <c r="F76" t="n">
        <v>1</v>
      </c>
    </row>
    <row r="77">
      <c r="B77" s="43" t="inlineStr">
        <is>
          <t>If yes — typical length:</t>
        </is>
      </c>
      <c r="C77" s="44" t="n"/>
      <c r="D77" s="28" t="n"/>
      <c r="E77" s="28" t="n"/>
      <c r="F77" t="n">
        <v>1</v>
      </c>
    </row>
    <row r="78" ht="48" customHeight="1">
      <c r="B78" s="43" t="inlineStr">
        <is>
          <t>When do you feel you are most productive during the day?</t>
        </is>
      </c>
      <c r="C78" s="44" t="n"/>
      <c r="D78" s="28" t="n"/>
      <c r="E78" s="28" t="n"/>
      <c r="F78" t="n">
        <v>1</v>
      </c>
    </row>
    <row r="79" ht="48" customHeight="1">
      <c r="B79" s="43" t="inlineStr">
        <is>
          <t>What normally causes your schedule to get off track?</t>
        </is>
      </c>
      <c r="C79" s="44" t="n"/>
      <c r="D79" s="28" t="n"/>
      <c r="E79" s="28" t="n"/>
      <c r="F79" t="n">
        <v>1</v>
      </c>
    </row>
    <row r="80" ht="48" customHeight="1">
      <c r="B80" s="43" t="inlineStr">
        <is>
          <t>What is the first business-producing activity you normally do each day?</t>
        </is>
      </c>
      <c r="C80" s="44" t="n"/>
      <c r="D80" s="28" t="n"/>
      <c r="E80" s="28" t="n"/>
      <c r="F80" t="n">
        <v>1</v>
      </c>
    </row>
    <row r="81" ht="48" customHeight="1">
      <c r="B81" s="43" t="inlineStr">
        <is>
          <t>What usually consumes more time than you intended?</t>
        </is>
      </c>
      <c r="C81" s="44" t="n"/>
      <c r="D81" s="28" t="n"/>
      <c r="E81" s="28" t="n"/>
      <c r="F81" t="n">
        <v>1</v>
      </c>
    </row>
    <row r="83" ht="24" customHeight="1">
      <c r="A83" s="42" t="inlineStr">
        <is>
          <t>5. HOW ARE YOU CURRENTLY GENERATING BUSINESS?</t>
        </is>
      </c>
    </row>
    <row r="84" ht="28" customHeight="1">
      <c r="A84" s="45" t="inlineStr">
        <is>
          <t>Activity level: 0 = Not currently using · 1 = Occasionally · 3 = Consistently · 5 = Major part of my business</t>
        </is>
      </c>
    </row>
    <row r="85">
      <c r="B85" s="46" t="inlineStr">
        <is>
          <t>Business Development Source</t>
        </is>
      </c>
      <c r="C85" s="46" t="inlineStr">
        <is>
          <t>Activity Level 0–5</t>
        </is>
      </c>
      <c r="D85" s="46" t="inlineStr">
        <is>
          <t>Generated a Real Opportunity?</t>
        </is>
      </c>
    </row>
    <row r="86">
      <c r="B86" s="47" t="inlineStr">
        <is>
          <t>Cold Calling Property Owners</t>
        </is>
      </c>
      <c r="C86" s="36" t="n"/>
      <c r="D86" s="36" t="n"/>
      <c r="F86" t="n">
        <v>1</v>
      </c>
    </row>
    <row r="87">
      <c r="B87" s="47" t="inlineStr">
        <is>
          <t>Calling Businesses / Tenants</t>
        </is>
      </c>
      <c r="C87" s="36" t="n"/>
      <c r="D87" s="36" t="n"/>
      <c r="F87" t="n">
        <v>1</v>
      </c>
    </row>
    <row r="88">
      <c r="B88" s="47" t="inlineStr">
        <is>
          <t>Sphere of Influence</t>
        </is>
      </c>
      <c r="C88" s="36" t="n"/>
      <c r="D88" s="36" t="n"/>
      <c r="F88" t="n">
        <v>1</v>
      </c>
    </row>
    <row r="89">
      <c r="B89" s="47" t="inlineStr">
        <is>
          <t>Past Clients</t>
        </is>
      </c>
      <c r="C89" s="36" t="n"/>
      <c r="D89" s="36" t="n"/>
      <c r="F89" t="n">
        <v>1</v>
      </c>
    </row>
    <row r="90">
      <c r="B90" s="47" t="inlineStr">
        <is>
          <t>Current Clients</t>
        </is>
      </c>
      <c r="C90" s="36" t="n"/>
      <c r="D90" s="36" t="n"/>
      <c r="F90" t="n">
        <v>1</v>
      </c>
    </row>
    <row r="91">
      <c r="B91" s="47" t="inlineStr">
        <is>
          <t>KW Residential Agent Referrals</t>
        </is>
      </c>
      <c r="C91" s="36" t="n"/>
      <c r="D91" s="36" t="n"/>
      <c r="F91" t="n">
        <v>1</v>
      </c>
    </row>
    <row r="92">
      <c r="B92" s="47" t="inlineStr">
        <is>
          <t>KW Commercial Referrals</t>
        </is>
      </c>
      <c r="C92" s="36" t="n"/>
      <c r="D92" s="36" t="n"/>
      <c r="F92" t="n">
        <v>1</v>
      </c>
    </row>
    <row r="93">
      <c r="B93" s="47" t="inlineStr">
        <is>
          <t>Outside Broker Referrals</t>
        </is>
      </c>
      <c r="C93" s="36" t="n"/>
      <c r="D93" s="36" t="n"/>
      <c r="F93" t="n">
        <v>1</v>
      </c>
    </row>
    <row r="94">
      <c r="B94" s="47" t="inlineStr">
        <is>
          <t>Attorneys</t>
        </is>
      </c>
      <c r="C94" s="36" t="n"/>
      <c r="D94" s="36" t="n"/>
      <c r="F94" t="n">
        <v>1</v>
      </c>
    </row>
    <row r="95">
      <c r="B95" s="47" t="inlineStr">
        <is>
          <t>CPAs / Accountants</t>
        </is>
      </c>
      <c r="C95" s="36" t="n"/>
      <c r="D95" s="36" t="n"/>
      <c r="F95" t="n">
        <v>1</v>
      </c>
    </row>
    <row r="96">
      <c r="B96" s="47" t="inlineStr">
        <is>
          <t>Lenders / Bankers</t>
        </is>
      </c>
      <c r="C96" s="36" t="n"/>
      <c r="D96" s="36" t="n"/>
      <c r="F96" t="n">
        <v>1</v>
      </c>
    </row>
    <row r="97">
      <c r="B97" s="47" t="inlineStr">
        <is>
          <t>Developers / Builders</t>
        </is>
      </c>
      <c r="C97" s="36" t="n"/>
      <c r="D97" s="36" t="n"/>
      <c r="F97" t="n">
        <v>1</v>
      </c>
    </row>
    <row r="98">
      <c r="B98" s="47" t="inlineStr">
        <is>
          <t>Investors</t>
        </is>
      </c>
      <c r="C98" s="36" t="n"/>
      <c r="D98" s="36" t="n"/>
      <c r="F98" t="n">
        <v>1</v>
      </c>
    </row>
    <row r="99">
      <c r="B99" s="47" t="inlineStr">
        <is>
          <t>Business Owners</t>
        </is>
      </c>
      <c r="C99" s="36" t="n"/>
      <c r="D99" s="36" t="n"/>
      <c r="F99" t="n">
        <v>1</v>
      </c>
    </row>
    <row r="100">
      <c r="B100" s="47" t="inlineStr">
        <is>
          <t>Networking Organizations</t>
        </is>
      </c>
      <c r="C100" s="36" t="n"/>
      <c r="D100" s="36" t="n"/>
      <c r="F100" t="n">
        <v>1</v>
      </c>
    </row>
    <row r="101">
      <c r="B101" s="47" t="inlineStr">
        <is>
          <t>Email Campaigns</t>
        </is>
      </c>
      <c r="C101" s="36" t="n"/>
      <c r="D101" s="36" t="n"/>
      <c r="F101" t="n">
        <v>1</v>
      </c>
    </row>
    <row r="102">
      <c r="B102" s="47" t="inlineStr">
        <is>
          <t>Direct Mail</t>
        </is>
      </c>
      <c r="C102" s="36" t="n"/>
      <c r="D102" s="36" t="n"/>
      <c r="F102" t="n">
        <v>1</v>
      </c>
    </row>
    <row r="103">
      <c r="B103" s="47" t="inlineStr">
        <is>
          <t>Social Media / Content</t>
        </is>
      </c>
      <c r="C103" s="36" t="n"/>
      <c r="D103" s="36" t="n"/>
      <c r="F103" t="n">
        <v>1</v>
      </c>
    </row>
    <row r="104">
      <c r="B104" s="47" t="inlineStr">
        <is>
          <t>Crexi / Online Platforms</t>
        </is>
      </c>
      <c r="C104" s="36" t="n"/>
      <c r="D104" s="36" t="n"/>
      <c r="F104" t="n">
        <v>1</v>
      </c>
    </row>
    <row r="105">
      <c r="B105" s="47" t="inlineStr">
        <is>
          <t>Database / CRM Follow-Up</t>
        </is>
      </c>
      <c r="C105" s="36" t="n"/>
      <c r="D105" s="36" t="n"/>
      <c r="F105" t="n">
        <v>1</v>
      </c>
    </row>
    <row r="106">
      <c r="B106" s="47" t="inlineStr">
        <is>
          <t>Property Visits / Canvassing</t>
        </is>
      </c>
      <c r="C106" s="36" t="n"/>
      <c r="D106" s="36" t="n"/>
      <c r="F106" t="n">
        <v>1</v>
      </c>
    </row>
    <row r="107">
      <c r="B107" s="47" t="inlineStr">
        <is>
          <t>Market Center Relationships</t>
        </is>
      </c>
      <c r="C107" s="36" t="n"/>
      <c r="D107" s="36" t="n"/>
      <c r="F107" t="n">
        <v>1</v>
      </c>
    </row>
    <row r="108">
      <c r="B108" s="47" t="inlineStr">
        <is>
          <t>Other</t>
        </is>
      </c>
      <c r="C108" s="36" t="n"/>
      <c r="D108" s="36" t="n"/>
      <c r="F108" t="n">
        <v>1</v>
      </c>
    </row>
    <row r="109" ht="48" customHeight="1">
      <c r="B109" s="43" t="inlineStr">
        <is>
          <t>If Other, please explain:</t>
        </is>
      </c>
      <c r="C109" s="44" t="n"/>
      <c r="D109" s="28" t="n"/>
      <c r="E109" s="28" t="n"/>
      <c r="F109" t="n">
        <v>1</v>
      </c>
    </row>
    <row r="110" ht="48" customHeight="1">
      <c r="B110" s="43" t="inlineStr">
        <is>
          <t>What are currently your TOP THREE sources of business?</t>
        </is>
      </c>
      <c r="C110" s="44" t="n"/>
      <c r="D110" s="28" t="n"/>
      <c r="E110" s="28" t="n"/>
      <c r="F110" t="n">
        <v>1</v>
      </c>
    </row>
    <row r="111" ht="48" customHeight="1">
      <c r="B111" s="43" t="inlineStr">
        <is>
          <t>Which one has produced the most actual opportunities or transactions?</t>
        </is>
      </c>
      <c r="C111" s="44" t="n"/>
      <c r="D111" s="28" t="n"/>
      <c r="E111" s="28" t="n"/>
      <c r="F111" t="n">
        <v>1</v>
      </c>
    </row>
    <row r="112" ht="48" customHeight="1">
      <c r="B112" s="43" t="inlineStr">
        <is>
          <t>Which business-development channel do you believe you should be using more?</t>
        </is>
      </c>
      <c r="C112" s="44" t="n"/>
      <c r="D112" s="28" t="n"/>
      <c r="E112" s="28" t="n"/>
      <c r="F112" t="n">
        <v>1</v>
      </c>
    </row>
    <row r="114" ht="24" customHeight="1">
      <c r="A114" s="42" t="inlineStr">
        <is>
          <t>6. YOUR MARKET CENTER</t>
        </is>
      </c>
    </row>
    <row r="115" ht="48" customHeight="1">
      <c r="B115" s="43" t="inlineStr">
        <is>
          <t>How have you been developing relationships within your Market Center?</t>
        </is>
      </c>
      <c r="C115" s="44" t="n"/>
      <c r="D115" s="28" t="n"/>
      <c r="E115" s="28" t="n"/>
      <c r="F115" t="n">
        <v>1</v>
      </c>
    </row>
    <row r="116">
      <c r="B116" s="43" t="inlineStr">
        <is>
          <t>How many residential agents in your Market Center know that you handle commercial real estate?</t>
        </is>
      </c>
      <c r="C116" s="44" t="n"/>
      <c r="D116" s="28" t="n"/>
      <c r="E116" s="28" t="n"/>
      <c r="F116" t="n">
        <v>1</v>
      </c>
    </row>
    <row r="117">
      <c r="B117" s="48" t="inlineStr">
        <is>
          <t>What have you done to generate commercial referrals from your Market Center?  (select Yes for all that apply)</t>
        </is>
      </c>
    </row>
    <row r="118">
      <c r="B118" s="47" t="inlineStr">
        <is>
          <t xml:space="preserve">      Introduced myself individually to agents</t>
        </is>
      </c>
      <c r="C118" s="36" t="n"/>
    </row>
    <row r="119">
      <c r="B119" s="47" t="inlineStr">
        <is>
          <t xml:space="preserve">      Attended team/office meetings</t>
        </is>
      </c>
      <c r="C119" s="36" t="n"/>
    </row>
    <row r="120">
      <c r="B120" s="47" t="inlineStr">
        <is>
          <t xml:space="preserve">      Given commercial real estate presentations</t>
        </is>
      </c>
      <c r="C120" s="36" t="n"/>
    </row>
    <row r="121">
      <c r="B121" s="47" t="inlineStr">
        <is>
          <t xml:space="preserve">      Shared commercial opportunities/listings</t>
        </is>
      </c>
      <c r="C121" s="36" t="n"/>
    </row>
    <row r="122">
      <c r="B122" s="47" t="inlineStr">
        <is>
          <t xml:space="preserve">      Asked agents directly for referrals</t>
        </is>
      </c>
      <c r="C122" s="36" t="n"/>
    </row>
    <row r="123">
      <c r="B123" s="47" t="inlineStr">
        <is>
          <t xml:space="preserve">      Helped agents with commercial questions</t>
        </is>
      </c>
      <c r="C123" s="36" t="n"/>
    </row>
    <row r="124">
      <c r="B124" s="47" t="inlineStr">
        <is>
          <t xml:space="preserve">      Developed relationships with leadership</t>
        </is>
      </c>
      <c r="C124" s="36" t="n"/>
    </row>
    <row r="125">
      <c r="B125" s="47" t="inlineStr">
        <is>
          <t xml:space="preserve">      Participated in office events</t>
        </is>
      </c>
      <c r="C125" s="36" t="n"/>
    </row>
    <row r="126">
      <c r="B126" s="47" t="inlineStr">
        <is>
          <t xml:space="preserve">      Sent emails/newsletters to agents</t>
        </is>
      </c>
      <c r="C126" s="36" t="n"/>
    </row>
    <row r="127">
      <c r="B127" s="47" t="inlineStr">
        <is>
          <t xml:space="preserve">      Shared CRE educational content</t>
        </is>
      </c>
      <c r="C127" s="36" t="n"/>
    </row>
    <row r="128">
      <c r="B128" s="47" t="inlineStr">
        <is>
          <t xml:space="preserve">      Nothing consistently yet</t>
        </is>
      </c>
      <c r="C128" s="36" t="n"/>
    </row>
    <row r="129">
      <c r="B129" s="47" t="inlineStr">
        <is>
          <t xml:space="preserve">      Other (describe →)</t>
        </is>
      </c>
      <c r="C129" s="36" t="n"/>
      <c r="D129" s="28" t="n"/>
    </row>
    <row r="130">
      <c r="B130" s="43" t="inlineStr">
        <is>
          <t>Meaningful conversations with Market Center agents in a typical month:</t>
        </is>
      </c>
      <c r="C130" s="44" t="n"/>
      <c r="D130" s="28" t="n"/>
      <c r="E130" s="28" t="n"/>
      <c r="F130" t="n">
        <v>1</v>
      </c>
    </row>
    <row r="131">
      <c r="B131" s="43" t="inlineStr">
        <is>
          <t>Commercial referrals received from your Market Center in the past 90 days:</t>
        </is>
      </c>
      <c r="C131" s="44" t="n"/>
      <c r="D131" s="28" t="n"/>
      <c r="E131" s="28" t="n"/>
      <c r="F131" t="n">
        <v>1</v>
      </c>
    </row>
    <row r="132" ht="48" customHeight="1">
      <c r="B132" s="43" t="inlineStr">
        <is>
          <t>What could you do differently over the next 90 days to become the commercial resource within your office?</t>
        </is>
      </c>
      <c r="C132" s="44" t="n"/>
      <c r="D132" s="28" t="n"/>
      <c r="E132" s="28" t="n"/>
      <c r="F132" t="n">
        <v>1</v>
      </c>
    </row>
    <row r="134" ht="24" customHeight="1">
      <c r="A134" s="42" t="inlineStr">
        <is>
          <t>7. YOUR SPHERE OF INFLUENCE</t>
        </is>
      </c>
    </row>
    <row r="135">
      <c r="B135" s="48" t="inlineStr">
        <is>
          <t>Who currently knows that you work in commercial real estate?  (select Yes for all that apply)</t>
        </is>
      </c>
    </row>
    <row r="136">
      <c r="B136" s="47" t="inlineStr">
        <is>
          <t xml:space="preserve">      Friends / Family</t>
        </is>
      </c>
      <c r="C136" s="36" t="n"/>
    </row>
    <row r="137">
      <c r="B137" s="47" t="inlineStr">
        <is>
          <t xml:space="preserve">      Former Clients</t>
        </is>
      </c>
      <c r="C137" s="36" t="n"/>
    </row>
    <row r="138">
      <c r="B138" s="47" t="inlineStr">
        <is>
          <t xml:space="preserve">      Residential Clients</t>
        </is>
      </c>
      <c r="C138" s="36" t="n"/>
    </row>
    <row r="139">
      <c r="B139" s="47" t="inlineStr">
        <is>
          <t xml:space="preserve">      Business Owners</t>
        </is>
      </c>
      <c r="C139" s="36" t="n"/>
    </row>
    <row r="140">
      <c r="B140" s="47" t="inlineStr">
        <is>
          <t xml:space="preserve">      Investors</t>
        </is>
      </c>
      <c r="C140" s="36" t="n"/>
    </row>
    <row r="141">
      <c r="B141" s="47" t="inlineStr">
        <is>
          <t xml:space="preserve">      Attorneys</t>
        </is>
      </c>
      <c r="C141" s="36" t="n"/>
    </row>
    <row r="142">
      <c r="B142" s="47" t="inlineStr">
        <is>
          <t xml:space="preserve">      CPAs</t>
        </is>
      </c>
      <c r="C142" s="36" t="n"/>
    </row>
    <row r="143">
      <c r="B143" s="47" t="inlineStr">
        <is>
          <t xml:space="preserve">      Lenders</t>
        </is>
      </c>
      <c r="C143" s="36" t="n"/>
    </row>
    <row r="144">
      <c r="B144" s="47" t="inlineStr">
        <is>
          <t xml:space="preserve">      Developers</t>
        </is>
      </c>
      <c r="C144" s="36" t="n"/>
    </row>
    <row r="145">
      <c r="B145" s="47" t="inlineStr">
        <is>
          <t xml:space="preserve">      Contractors</t>
        </is>
      </c>
      <c r="C145" s="36" t="n"/>
    </row>
    <row r="146">
      <c r="B146" s="47" t="inlineStr">
        <is>
          <t xml:space="preserve">      Other Brokers</t>
        </is>
      </c>
      <c r="C146" s="36" t="n"/>
    </row>
    <row r="147">
      <c r="B147" s="47" t="inlineStr">
        <is>
          <t xml:space="preserve">      Community Organizations</t>
        </is>
      </c>
      <c r="C147" s="36" t="n"/>
    </row>
    <row r="148">
      <c r="B148" s="47" t="inlineStr">
        <is>
          <t xml:space="preserve">      Other (describe →)</t>
        </is>
      </c>
      <c r="C148" s="36" t="n"/>
      <c r="D148" s="28" t="n"/>
    </row>
    <row r="149">
      <c r="B149" s="43" t="inlineStr">
        <is>
          <t>Approximately how many people are part of your professional sphere today?</t>
        </is>
      </c>
      <c r="C149" s="44" t="n"/>
      <c r="D149" s="28" t="n"/>
      <c r="E149" s="28" t="n"/>
      <c r="F149" t="n">
        <v>1</v>
      </c>
    </row>
    <row r="150">
      <c r="B150" s="43" t="inlineStr">
        <is>
          <t>How often are you intentionally communicating with your sphere?</t>
        </is>
      </c>
      <c r="C150" s="44" t="n"/>
      <c r="D150" s="28" t="n"/>
      <c r="E150" s="28" t="n"/>
      <c r="F150" t="n">
        <v>1</v>
      </c>
    </row>
    <row r="151" ht="48" customHeight="1">
      <c r="B151" s="43" t="inlineStr">
        <is>
          <t>What are you currently doing to grow your sphere?</t>
        </is>
      </c>
      <c r="C151" s="44" t="n"/>
      <c r="D151" s="28" t="n"/>
      <c r="E151" s="28" t="n"/>
      <c r="F151" t="n">
        <v>1</v>
      </c>
    </row>
    <row r="152" ht="48" customHeight="1">
      <c r="B152" s="43" t="inlineStr">
        <is>
          <t>Five people or categories of people you should be building stronger relationships with:</t>
        </is>
      </c>
      <c r="C152" s="44" t="n"/>
      <c r="D152" s="28" t="n"/>
      <c r="E152" s="28" t="n"/>
      <c r="F152" t="n">
        <v>1</v>
      </c>
    </row>
    <row r="154" ht="24" customHeight="1">
      <c r="A154" s="42" t="inlineStr">
        <is>
          <t>8. MARKET &amp; PRODUCT FOCUS</t>
        </is>
      </c>
    </row>
    <row r="155">
      <c r="B155" s="43" t="inlineStr">
        <is>
          <t>Do you currently have a defined commercial real estate focus?</t>
        </is>
      </c>
      <c r="C155" s="44" t="n"/>
      <c r="D155" s="28" t="n"/>
      <c r="E155" s="28" t="n"/>
      <c r="F155" t="n">
        <v>1</v>
      </c>
    </row>
    <row r="156">
      <c r="B156" s="43" t="inlineStr">
        <is>
          <t>Are you focusing on a particular geographic area?</t>
        </is>
      </c>
      <c r="C156" s="44" t="n"/>
      <c r="D156" s="28" t="n"/>
      <c r="E156" s="28" t="n"/>
      <c r="F156" t="n">
        <v>1</v>
      </c>
    </row>
    <row r="157">
      <c r="B157" s="43" t="inlineStr">
        <is>
          <t>Primary Market:</t>
        </is>
      </c>
      <c r="C157" s="44" t="n"/>
      <c r="D157" s="28" t="n"/>
      <c r="E157" s="28" t="n"/>
      <c r="F157" t="n">
        <v>1</v>
      </c>
    </row>
    <row r="158">
      <c r="B158" s="43" t="inlineStr">
        <is>
          <t>Secondary Market:</t>
        </is>
      </c>
      <c r="C158" s="44" t="n"/>
      <c r="D158" s="28" t="n"/>
      <c r="E158" s="28" t="n"/>
      <c r="F158" t="n">
        <v>1</v>
      </c>
    </row>
    <row r="159" ht="48" customHeight="1">
      <c r="B159" s="43" t="inlineStr">
        <is>
          <t>Specific submarkets / corridors / neighborhoods:</t>
        </is>
      </c>
      <c r="C159" s="44" t="n"/>
      <c r="D159" s="28" t="n"/>
      <c r="E159" s="28" t="n"/>
      <c r="F159" t="n">
        <v>1</v>
      </c>
    </row>
    <row r="160">
      <c r="B160" s="48" t="inlineStr">
        <is>
          <t>Which property types are you currently pursuing?  (select Yes for all that apply)</t>
        </is>
      </c>
    </row>
    <row r="161">
      <c r="B161" s="47" t="inlineStr">
        <is>
          <t xml:space="preserve">      Retail</t>
        </is>
      </c>
      <c r="C161" s="36" t="n"/>
    </row>
    <row r="162">
      <c r="B162" s="47" t="inlineStr">
        <is>
          <t xml:space="preserve">      Office</t>
        </is>
      </c>
      <c r="C162" s="36" t="n"/>
    </row>
    <row r="163">
      <c r="B163" s="47" t="inlineStr">
        <is>
          <t xml:space="preserve">      Industrial</t>
        </is>
      </c>
      <c r="C163" s="36" t="n"/>
    </row>
    <row r="164">
      <c r="B164" s="47" t="inlineStr">
        <is>
          <t xml:space="preserve">      Land</t>
        </is>
      </c>
      <c r="C164" s="36" t="n"/>
    </row>
    <row r="165">
      <c r="B165" s="47" t="inlineStr">
        <is>
          <t xml:space="preserve">      Multifamily</t>
        </is>
      </c>
      <c r="C165" s="36" t="n"/>
    </row>
    <row r="166">
      <c r="B166" s="47" t="inlineStr">
        <is>
          <t xml:space="preserve">      Medical / Healthcare</t>
        </is>
      </c>
      <c r="C166" s="36" t="n"/>
    </row>
    <row r="167">
      <c r="B167" s="47" t="inlineStr">
        <is>
          <t xml:space="preserve">      Hospitality</t>
        </is>
      </c>
      <c r="C167" s="36" t="n"/>
    </row>
    <row r="168">
      <c r="B168" s="47" t="inlineStr">
        <is>
          <t xml:space="preserve">      Investment Sales</t>
        </is>
      </c>
      <c r="C168" s="36" t="n"/>
    </row>
    <row r="169">
      <c r="B169" s="47" t="inlineStr">
        <is>
          <t xml:space="preserve">      Development</t>
        </is>
      </c>
      <c r="C169" s="36" t="n"/>
    </row>
    <row r="170">
      <c r="B170" s="47" t="inlineStr">
        <is>
          <t xml:space="preserve">      Business Brokerage</t>
        </is>
      </c>
      <c r="C170" s="36" t="n"/>
    </row>
    <row r="171">
      <c r="B171" s="47" t="inlineStr">
        <is>
          <t xml:space="preserve">      Other (describe →)</t>
        </is>
      </c>
      <c r="C171" s="36" t="n"/>
      <c r="D171" s="28" t="n"/>
    </row>
    <row r="172" ht="48" customHeight="1">
      <c r="B172" s="43" t="inlineStr">
        <is>
          <t>Which ONE or TWO areas would you most like to become known for?</t>
        </is>
      </c>
      <c r="C172" s="44" t="n"/>
      <c r="D172" s="28" t="n"/>
      <c r="E172" s="28" t="n"/>
      <c r="F172" t="n">
        <v>1</v>
      </c>
    </row>
    <row r="173" ht="48" customHeight="1">
      <c r="B173" s="43" t="inlineStr">
        <is>
          <t>If someone asked you today, “What type of commercial real estate do you specialize in?” what would you say?</t>
        </is>
      </c>
      <c r="C173" s="44" t="n"/>
      <c r="D173" s="28" t="n"/>
      <c r="E173" s="28" t="n"/>
      <c r="F173" t="n">
        <v>1</v>
      </c>
    </row>
    <row r="174" ht="48" customHeight="1">
      <c r="B174" s="43" t="inlineStr">
        <is>
          <t>Do you feel confident saying that? Why or why not?</t>
        </is>
      </c>
      <c r="C174" s="44" t="n"/>
      <c r="D174" s="28" t="n"/>
      <c r="E174" s="28" t="n"/>
      <c r="F174" t="n">
        <v>1</v>
      </c>
    </row>
    <row r="176" ht="24" customHeight="1">
      <c r="A176" s="42" t="inlineStr">
        <is>
          <t>9. CURRENT COMMERCIAL PIPELINE</t>
        </is>
      </c>
    </row>
    <row r="177" ht="28" customHeight="1">
      <c r="A177" s="45" t="inlineStr">
        <is>
          <t>Do your best. Exact numbers are not required.</t>
        </is>
      </c>
    </row>
    <row r="178">
      <c r="B178" s="46" t="inlineStr">
        <is>
          <t>Category</t>
        </is>
      </c>
      <c r="C178" s="46" t="inlineStr">
        <is>
          <t>#</t>
        </is>
      </c>
      <c r="D178" s="46" t="inlineStr">
        <is>
          <t>Approx. Transaction Volume</t>
        </is>
      </c>
      <c r="E178" s="46" t="inlineStr">
        <is>
          <t>Potential GCI</t>
        </is>
      </c>
    </row>
    <row r="179">
      <c r="B179" s="47" t="inlineStr">
        <is>
          <t>Active Listings</t>
        </is>
      </c>
      <c r="C179" s="36" t="n"/>
      <c r="D179" s="37" t="n"/>
      <c r="E179" s="37" t="n"/>
      <c r="F179" t="n">
        <v>1</v>
      </c>
    </row>
    <row r="180">
      <c r="B180" s="47" t="inlineStr">
        <is>
          <t>Buyer Assignments</t>
        </is>
      </c>
      <c r="C180" s="36" t="n"/>
      <c r="D180" s="37" t="n"/>
      <c r="E180" s="37" t="n"/>
      <c r="F180" t="n">
        <v>1</v>
      </c>
    </row>
    <row r="181">
      <c r="B181" s="47" t="inlineStr">
        <is>
          <t>Tenant Representation</t>
        </is>
      </c>
      <c r="C181" s="36" t="n"/>
      <c r="D181" s="37" t="n"/>
      <c r="E181" s="37" t="n"/>
      <c r="F181" t="n">
        <v>1</v>
      </c>
    </row>
    <row r="182">
      <c r="B182" s="47" t="inlineStr">
        <is>
          <t>Landlord Representation</t>
        </is>
      </c>
      <c r="C182" s="36" t="n"/>
      <c r="D182" s="37" t="n"/>
      <c r="E182" s="37" t="n"/>
      <c r="F182" t="n">
        <v>1</v>
      </c>
    </row>
    <row r="183">
      <c r="B183" s="47" t="inlineStr">
        <is>
          <t>Active LOIs</t>
        </is>
      </c>
      <c r="C183" s="36" t="n"/>
      <c r="D183" s="37" t="n"/>
      <c r="E183" s="37" t="n"/>
      <c r="F183" t="n">
        <v>1</v>
      </c>
    </row>
    <row r="184">
      <c r="B184" s="47" t="inlineStr">
        <is>
          <t>Under Contract</t>
        </is>
      </c>
      <c r="C184" s="36" t="n"/>
      <c r="D184" s="37" t="n"/>
      <c r="E184" s="37" t="n"/>
      <c r="F184" t="n">
        <v>1</v>
      </c>
    </row>
    <row r="185">
      <c r="B185" s="47" t="inlineStr">
        <is>
          <t>Qualified Prospects</t>
        </is>
      </c>
      <c r="C185" s="36" t="n"/>
      <c r="D185" s="37" t="n"/>
      <c r="E185" s="37" t="n"/>
      <c r="F185" t="n">
        <v>1</v>
      </c>
    </row>
    <row r="186">
      <c r="B186" s="47" t="inlineStr">
        <is>
          <t>Early-Stage Opportunities</t>
        </is>
      </c>
      <c r="C186" s="36" t="n"/>
      <c r="D186" s="37" t="n"/>
      <c r="E186" s="37" t="n"/>
      <c r="F186" t="n">
        <v>1</v>
      </c>
    </row>
    <row r="187">
      <c r="B187" s="49" t="inlineStr">
        <is>
          <t>TOTAL</t>
        </is>
      </c>
      <c r="C187" s="50">
        <f>SUM(C179:C186)</f>
        <v/>
      </c>
      <c r="D187" s="55">
        <f>SUM(D179:D186)</f>
        <v/>
      </c>
      <c r="E187" s="55">
        <f>SUM(E179:E186)</f>
        <v/>
      </c>
    </row>
    <row r="188">
      <c r="B188" s="43" t="inlineStr">
        <is>
          <t>New commercial opportunities created in the last 30 days:</t>
        </is>
      </c>
      <c r="C188" s="44" t="n"/>
      <c r="D188" s="28" t="n"/>
      <c r="E188" s="28" t="n"/>
      <c r="F188" t="n">
        <v>1</v>
      </c>
    </row>
    <row r="189">
      <c r="B189" s="43" t="inlineStr">
        <is>
          <t>Prospect/client meetings in the last 30 days:</t>
        </is>
      </c>
      <c r="C189" s="44" t="n"/>
      <c r="D189" s="28" t="n"/>
      <c r="E189" s="28" t="n"/>
      <c r="F189" t="n">
        <v>1</v>
      </c>
    </row>
    <row r="190">
      <c r="B190" s="43" t="inlineStr">
        <is>
          <t>New people added to your commercial database in the last 30 days:</t>
        </is>
      </c>
      <c r="C190" s="44" t="n"/>
      <c r="D190" s="28" t="n"/>
      <c r="E190" s="28" t="n"/>
      <c r="F190" t="n">
        <v>1</v>
      </c>
    </row>
    <row r="191">
      <c r="B191" s="43" t="inlineStr">
        <is>
          <t>How many follow-ups are currently outstanding? (number or “Unsure”)</t>
        </is>
      </c>
      <c r="C191" s="44" t="n"/>
      <c r="D191" s="28" t="n"/>
      <c r="E191" s="28" t="n"/>
      <c r="F191" t="n">
        <v>1</v>
      </c>
    </row>
    <row r="192">
      <c r="B192" s="43" t="inlineStr">
        <is>
          <t>Do you currently know what your commercial pipeline is worth in potential GCI?</t>
        </is>
      </c>
      <c r="C192" s="44" t="n"/>
      <c r="D192" s="28" t="n"/>
      <c r="E192" s="28" t="n"/>
      <c r="F192" t="n">
        <v>1</v>
      </c>
    </row>
    <row r="194" ht="24" customHeight="1">
      <c r="A194" s="42" t="inlineStr">
        <is>
          <t>10. SKILLS &amp; CONFIDENCE ASSESSMENT</t>
        </is>
      </c>
    </row>
    <row r="195" ht="28" customHeight="1">
      <c r="A195" s="45" t="inlineStr">
        <is>
          <t>Rate yourself honestly.  1 = Need substantial help · 3 = Comfortable · 5 = Strong enough to teach someone else</t>
        </is>
      </c>
    </row>
    <row r="196">
      <c r="B196" s="46" t="inlineStr">
        <is>
          <t>Area</t>
        </is>
      </c>
      <c r="C196" s="46" t="inlineStr">
        <is>
          <t>Score 1–5</t>
        </is>
      </c>
    </row>
    <row r="197">
      <c r="B197" s="47" t="inlineStr">
        <is>
          <t>Cold Calling</t>
        </is>
      </c>
      <c r="C197" s="36" t="n"/>
      <c r="F197" t="n">
        <v>1</v>
      </c>
    </row>
    <row r="198">
      <c r="B198" s="47" t="inlineStr">
        <is>
          <t>Prospecting</t>
        </is>
      </c>
      <c r="C198" s="36" t="n"/>
      <c r="F198" t="n">
        <v>1</v>
      </c>
    </row>
    <row r="199">
      <c r="B199" s="47" t="inlineStr">
        <is>
          <t>Building Prospect Lists</t>
        </is>
      </c>
      <c r="C199" s="36" t="n"/>
      <c r="F199" t="n">
        <v>1</v>
      </c>
    </row>
    <row r="200">
      <c r="B200" s="47" t="inlineStr">
        <is>
          <t>Getting Decision Makers on the Phone</t>
        </is>
      </c>
      <c r="C200" s="36" t="n"/>
      <c r="F200" t="n">
        <v>1</v>
      </c>
    </row>
    <row r="201">
      <c r="B201" s="47" t="inlineStr">
        <is>
          <t>Converting Conversations into Meetings</t>
        </is>
      </c>
      <c r="C201" s="36" t="n"/>
      <c r="F201" t="n">
        <v>1</v>
      </c>
    </row>
    <row r="202">
      <c r="B202" s="47" t="inlineStr">
        <is>
          <t>Discovery Meetings</t>
        </is>
      </c>
      <c r="C202" s="36" t="n"/>
      <c r="F202" t="n">
        <v>1</v>
      </c>
    </row>
    <row r="203">
      <c r="B203" s="47" t="inlineStr">
        <is>
          <t>Listing Presentations</t>
        </is>
      </c>
      <c r="C203" s="36" t="n"/>
      <c r="F203" t="n">
        <v>1</v>
      </c>
    </row>
    <row r="204">
      <c r="B204" s="47" t="inlineStr">
        <is>
          <t>Buyer / Tenant Presentations</t>
        </is>
      </c>
      <c r="C204" s="36" t="n"/>
      <c r="F204" t="n">
        <v>1</v>
      </c>
    </row>
    <row r="205">
      <c r="B205" s="47" t="inlineStr">
        <is>
          <t>Market Research</t>
        </is>
      </c>
      <c r="C205" s="36" t="n"/>
      <c r="F205" t="n">
        <v>1</v>
      </c>
    </row>
    <row r="206">
      <c r="B206" s="47" t="inlineStr">
        <is>
          <t>Land id</t>
        </is>
      </c>
      <c r="C206" s="36" t="n"/>
      <c r="F206" t="n">
        <v>1</v>
      </c>
    </row>
    <row r="207">
      <c r="B207" s="47" t="inlineStr">
        <is>
          <t>Crexi</t>
        </is>
      </c>
      <c r="C207" s="36" t="n"/>
      <c r="F207" t="n">
        <v>1</v>
      </c>
    </row>
    <row r="208">
      <c r="B208" s="47" t="inlineStr">
        <is>
          <t>GIS</t>
        </is>
      </c>
      <c r="C208" s="36" t="n"/>
      <c r="F208" t="n">
        <v>1</v>
      </c>
    </row>
    <row r="209">
      <c r="B209" s="47" t="inlineStr">
        <is>
          <t>CRM / Database Management</t>
        </is>
      </c>
      <c r="C209" s="36" t="n"/>
      <c r="F209" t="n">
        <v>1</v>
      </c>
    </row>
    <row r="210">
      <c r="B210" s="47" t="inlineStr">
        <is>
          <t>Financial Underwriting</t>
        </is>
      </c>
      <c r="C210" s="36" t="n"/>
      <c r="F210" t="n">
        <v>1</v>
      </c>
    </row>
    <row r="211">
      <c r="B211" s="47" t="inlineStr">
        <is>
          <t>NOI / Cap Rate / Valuation</t>
        </is>
      </c>
      <c r="C211" s="36" t="n"/>
      <c r="F211" t="n">
        <v>1</v>
      </c>
    </row>
    <row r="212">
      <c r="B212" s="47" t="inlineStr">
        <is>
          <t>BOV Preparation</t>
        </is>
      </c>
      <c r="C212" s="36" t="n"/>
      <c r="F212" t="n">
        <v>1</v>
      </c>
    </row>
    <row r="213">
      <c r="B213" s="47" t="inlineStr">
        <is>
          <t>LOIs</t>
        </is>
      </c>
      <c r="C213" s="36" t="n"/>
      <c r="F213" t="n">
        <v>1</v>
      </c>
    </row>
    <row r="214">
      <c r="B214" s="47" t="inlineStr">
        <is>
          <t>Purchase Agreements</t>
        </is>
      </c>
      <c r="C214" s="36" t="n"/>
      <c r="F214" t="n">
        <v>1</v>
      </c>
    </row>
    <row r="215">
      <c r="B215" s="47" t="inlineStr">
        <is>
          <t>Commercial Leases</t>
        </is>
      </c>
      <c r="C215" s="36" t="n"/>
      <c r="F215" t="n">
        <v>1</v>
      </c>
    </row>
    <row r="216">
      <c r="B216" s="47" t="inlineStr">
        <is>
          <t>Due Diligence</t>
        </is>
      </c>
      <c r="C216" s="36" t="n"/>
      <c r="F216" t="n">
        <v>1</v>
      </c>
    </row>
    <row r="217">
      <c r="B217" s="47" t="inlineStr">
        <is>
          <t>Negotiation</t>
        </is>
      </c>
      <c r="C217" s="36" t="n"/>
      <c r="F217" t="n">
        <v>1</v>
      </c>
    </row>
    <row r="218">
      <c r="B218" s="47" t="inlineStr">
        <is>
          <t>Deal Management</t>
        </is>
      </c>
      <c r="C218" s="36" t="n"/>
      <c r="F218" t="n">
        <v>1</v>
      </c>
    </row>
    <row r="219">
      <c r="B219" s="47" t="inlineStr">
        <is>
          <t>Client Follow-Up</t>
        </is>
      </c>
      <c r="C219" s="36" t="n"/>
      <c r="F219" t="n">
        <v>1</v>
      </c>
    </row>
    <row r="220">
      <c r="B220" s="47" t="inlineStr">
        <is>
          <t>Networking</t>
        </is>
      </c>
      <c r="C220" s="36" t="n"/>
      <c r="F220" t="n">
        <v>1</v>
      </c>
    </row>
    <row r="221">
      <c r="B221" s="47" t="inlineStr">
        <is>
          <t>Referral Development</t>
        </is>
      </c>
      <c r="C221" s="36" t="n"/>
      <c r="F221" t="n">
        <v>1</v>
      </c>
    </row>
    <row r="222">
      <c r="B222" s="47" t="inlineStr">
        <is>
          <t>AI / ChatGPT</t>
        </is>
      </c>
      <c r="C222" s="36" t="n"/>
      <c r="F222" t="n">
        <v>1</v>
      </c>
    </row>
    <row r="223">
      <c r="B223" s="47" t="inlineStr">
        <is>
          <t>Personal Organization</t>
        </is>
      </c>
      <c r="C223" s="36" t="n"/>
      <c r="F223" t="n">
        <v>1</v>
      </c>
    </row>
    <row r="224">
      <c r="B224" s="47" t="inlineStr">
        <is>
          <t>Time Management</t>
        </is>
      </c>
      <c r="C224" s="36" t="n"/>
      <c r="F224" t="n">
        <v>1</v>
      </c>
    </row>
    <row r="225" ht="48" customHeight="1">
      <c r="B225" s="43" t="inlineStr">
        <is>
          <t>Three areas where you feel strongest:</t>
        </is>
      </c>
      <c r="C225" s="44" t="n"/>
      <c r="D225" s="28" t="n"/>
      <c r="E225" s="28" t="n"/>
      <c r="F225" t="n">
        <v>1</v>
      </c>
    </row>
    <row r="226" ht="48" customHeight="1">
      <c r="B226" s="43" t="inlineStr">
        <is>
          <t>Three areas where you most want help:</t>
        </is>
      </c>
      <c r="C226" s="44" t="n"/>
      <c r="D226" s="28" t="n"/>
      <c r="E226" s="28" t="n"/>
      <c r="F226" t="n">
        <v>1</v>
      </c>
    </row>
    <row r="228" ht="24" customHeight="1">
      <c r="A228" s="42" t="inlineStr">
        <is>
          <t>11. PAIN POINTS &amp; AREAS FOR IMPROVEMENT</t>
        </is>
      </c>
    </row>
    <row r="229">
      <c r="B229" s="48" t="inlineStr">
        <is>
          <t>What do you believe is currently preventing you from growing faster?  (select Yes for all that apply)</t>
        </is>
      </c>
    </row>
    <row r="230">
      <c r="B230" s="47" t="inlineStr">
        <is>
          <t xml:space="preserve">      Not enough prospecting</t>
        </is>
      </c>
      <c r="C230" s="36" t="n"/>
    </row>
    <row r="231">
      <c r="B231" s="47" t="inlineStr">
        <is>
          <t xml:space="preserve">      Difficulty finding prospects</t>
        </is>
      </c>
      <c r="C231" s="36" t="n"/>
    </row>
    <row r="232">
      <c r="B232" s="47" t="inlineStr">
        <is>
          <t xml:space="preserve">      Difficulty making calls</t>
        </is>
      </c>
      <c r="C232" s="36" t="n"/>
    </row>
    <row r="233">
      <c r="B233" s="47" t="inlineStr">
        <is>
          <t xml:space="preserve">      Difficulty converting calls</t>
        </is>
      </c>
      <c r="C233" s="36" t="n"/>
    </row>
    <row r="234">
      <c r="B234" s="47" t="inlineStr">
        <is>
          <t xml:space="preserve">      Follow-up</t>
        </is>
      </c>
      <c r="C234" s="36" t="n"/>
    </row>
    <row r="235">
      <c r="B235" s="47" t="inlineStr">
        <is>
          <t xml:space="preserve">      Time management</t>
        </is>
      </c>
      <c r="C235" s="36" t="n"/>
    </row>
    <row r="236">
      <c r="B236" s="47" t="inlineStr">
        <is>
          <t xml:space="preserve">      Daily structure</t>
        </is>
      </c>
      <c r="C236" s="36" t="n"/>
    </row>
    <row r="237">
      <c r="B237" s="47" t="inlineStr">
        <is>
          <t xml:space="preserve">      Residential business consuming time</t>
        </is>
      </c>
      <c r="C237" s="36" t="n"/>
    </row>
    <row r="238">
      <c r="B238" s="47" t="inlineStr">
        <is>
          <t xml:space="preserve">      Lack of experience</t>
        </is>
      </c>
      <c r="C238" s="36" t="n"/>
    </row>
    <row r="239">
      <c r="B239" s="47" t="inlineStr">
        <is>
          <t xml:space="preserve">      Lack of confidence</t>
        </is>
      </c>
      <c r="C239" s="36" t="n"/>
    </row>
    <row r="240">
      <c r="B240" s="47" t="inlineStr">
        <is>
          <t xml:space="preserve">      Market knowledge</t>
        </is>
      </c>
      <c r="C240" s="36" t="n"/>
    </row>
    <row r="241">
      <c r="B241" s="47" t="inlineStr">
        <is>
          <t xml:space="preserve">      Product knowledge</t>
        </is>
      </c>
      <c r="C241" s="36" t="n"/>
    </row>
    <row r="242">
      <c r="B242" s="47" t="inlineStr">
        <is>
          <t xml:space="preserve">      Financial analysis</t>
        </is>
      </c>
      <c r="C242" s="36" t="n"/>
    </row>
    <row r="243">
      <c r="B243" s="47" t="inlineStr">
        <is>
          <t xml:space="preserve">      Contracts / LOIs</t>
        </is>
      </c>
      <c r="C243" s="36" t="n"/>
    </row>
    <row r="244">
      <c r="B244" s="47" t="inlineStr">
        <is>
          <t xml:space="preserve">      Negotiation</t>
        </is>
      </c>
      <c r="C244" s="36" t="n"/>
    </row>
    <row r="245">
      <c r="B245" s="47" t="inlineStr">
        <is>
          <t xml:space="preserve">      Technology</t>
        </is>
      </c>
      <c r="C245" s="36" t="n"/>
    </row>
    <row r="246">
      <c r="B246" s="47" t="inlineStr">
        <is>
          <t xml:space="preserve">      Marketing</t>
        </is>
      </c>
      <c r="C246" s="36" t="n"/>
    </row>
    <row r="247">
      <c r="B247" s="47" t="inlineStr">
        <is>
          <t xml:space="preserve">      Building a sphere</t>
        </is>
      </c>
      <c r="C247" s="36" t="n"/>
    </row>
    <row r="248">
      <c r="B248" s="47" t="inlineStr">
        <is>
          <t xml:space="preserve">      Market Center relationships</t>
        </is>
      </c>
      <c r="C248" s="36" t="n"/>
    </row>
    <row r="249">
      <c r="B249" s="47" t="inlineStr">
        <is>
          <t xml:space="preserve">      Lack of specialization</t>
        </is>
      </c>
      <c r="C249" s="36" t="n"/>
    </row>
    <row r="250">
      <c r="B250" s="47" t="inlineStr">
        <is>
          <t xml:space="preserve">      Organization / CRM</t>
        </is>
      </c>
      <c r="C250" s="36" t="n"/>
    </row>
    <row r="251">
      <c r="B251" s="47" t="inlineStr">
        <is>
          <t xml:space="preserve">      Accountability</t>
        </is>
      </c>
      <c r="C251" s="36" t="n"/>
    </row>
    <row r="252">
      <c r="B252" s="47" t="inlineStr">
        <is>
          <t xml:space="preserve">      Other (describe →)</t>
        </is>
      </c>
      <c r="C252" s="36" t="n"/>
      <c r="D252" s="28" t="n"/>
    </row>
    <row r="253" ht="48" customHeight="1">
      <c r="B253" s="43" t="inlineStr">
        <is>
          <t>What is your single biggest pain point right now?</t>
        </is>
      </c>
      <c r="C253" s="44" t="n"/>
      <c r="D253" s="28" t="n"/>
      <c r="E253" s="28" t="n"/>
      <c r="F253" t="n">
        <v>1</v>
      </c>
    </row>
    <row r="254" ht="48" customHeight="1">
      <c r="B254" s="43" t="inlineStr">
        <is>
          <t>What is one recurring problem in your business that you would like help solving?</t>
        </is>
      </c>
      <c r="C254" s="44" t="n"/>
      <c r="D254" s="28" t="n"/>
      <c r="E254" s="28" t="n"/>
      <c r="F254" t="n">
        <v>1</v>
      </c>
    </row>
    <row r="255" ht="48" customHeight="1">
      <c r="B255" s="43" t="inlineStr">
        <is>
          <t>What is something you know you should be doing but have not consistently done?</t>
        </is>
      </c>
      <c r="C255" s="44" t="n"/>
      <c r="D255" s="28" t="n"/>
      <c r="E255" s="28" t="n"/>
      <c r="F255" t="n">
        <v>1</v>
      </c>
    </row>
    <row r="257" ht="24" customHeight="1">
      <c r="A257" s="42" t="inlineStr">
        <is>
          <t>12. PRAEDIUM SUPPORT &amp; DEVELOPMENT</t>
        </is>
      </c>
    </row>
    <row r="258">
      <c r="B258" s="46" t="inlineStr">
        <is>
          <t>Area</t>
        </is>
      </c>
      <c r="C258" s="46" t="inlineStr">
        <is>
          <t>Need More Support?</t>
        </is>
      </c>
    </row>
    <row r="259">
      <c r="B259" s="47" t="inlineStr">
        <is>
          <t>Prospecting</t>
        </is>
      </c>
      <c r="C259" s="36" t="n"/>
      <c r="F259" t="n">
        <v>1</v>
      </c>
    </row>
    <row r="260">
      <c r="B260" s="47" t="inlineStr">
        <is>
          <t>Prospect Lists</t>
        </is>
      </c>
      <c r="C260" s="36" t="n"/>
      <c r="F260" t="n">
        <v>1</v>
      </c>
    </row>
    <row r="261">
      <c r="B261" s="47" t="inlineStr">
        <is>
          <t>Market Research</t>
        </is>
      </c>
      <c r="C261" s="36" t="n"/>
      <c r="F261" t="n">
        <v>1</v>
      </c>
    </row>
    <row r="262">
      <c r="B262" s="47" t="inlineStr">
        <is>
          <t>Deal Strategy</t>
        </is>
      </c>
      <c r="C262" s="36" t="n"/>
      <c r="F262" t="n">
        <v>1</v>
      </c>
    </row>
    <row r="263">
      <c r="B263" s="47" t="inlineStr">
        <is>
          <t>Underwriting</t>
        </is>
      </c>
      <c r="C263" s="36" t="n"/>
      <c r="F263" t="n">
        <v>1</v>
      </c>
    </row>
    <row r="264">
      <c r="B264" s="47" t="inlineStr">
        <is>
          <t>Contracts / LOIs</t>
        </is>
      </c>
      <c r="C264" s="36" t="n"/>
      <c r="F264" t="n">
        <v>1</v>
      </c>
    </row>
    <row r="265">
      <c r="B265" s="47" t="inlineStr">
        <is>
          <t>Negotiation</t>
        </is>
      </c>
      <c r="C265" s="36" t="n"/>
      <c r="F265" t="n">
        <v>1</v>
      </c>
    </row>
    <row r="266">
      <c r="B266" s="47" t="inlineStr">
        <is>
          <t>Listing Presentations</t>
        </is>
      </c>
      <c r="C266" s="36" t="n"/>
      <c r="F266" t="n">
        <v>1</v>
      </c>
    </row>
    <row r="267">
      <c r="B267" s="47" t="inlineStr">
        <is>
          <t>Marketing</t>
        </is>
      </c>
      <c r="C267" s="36" t="n"/>
      <c r="F267" t="n">
        <v>1</v>
      </c>
    </row>
    <row r="268">
      <c r="B268" s="47" t="inlineStr">
        <is>
          <t>Technology</t>
        </is>
      </c>
      <c r="C268" s="36" t="n"/>
      <c r="F268" t="n">
        <v>1</v>
      </c>
    </row>
    <row r="269">
      <c r="B269" s="47" t="inlineStr">
        <is>
          <t>CRM</t>
        </is>
      </c>
      <c r="C269" s="36" t="n"/>
      <c r="F269" t="n">
        <v>1</v>
      </c>
    </row>
    <row r="270">
      <c r="B270" s="47" t="inlineStr">
        <is>
          <t>Administrative Support</t>
        </is>
      </c>
      <c r="C270" s="36" t="n"/>
      <c r="F270" t="n">
        <v>1</v>
      </c>
    </row>
    <row r="271">
      <c r="B271" s="47" t="inlineStr">
        <is>
          <t>Joint Meetings / Calls</t>
        </is>
      </c>
      <c r="C271" s="36" t="n"/>
      <c r="F271" t="n">
        <v>1</v>
      </c>
    </row>
    <row r="272">
      <c r="B272" s="47" t="inlineStr">
        <is>
          <t>Mentoring</t>
        </is>
      </c>
      <c r="C272" s="36" t="n"/>
      <c r="F272" t="n">
        <v>1</v>
      </c>
    </row>
    <row r="273">
      <c r="B273" s="47" t="inlineStr">
        <is>
          <t>Accountability</t>
        </is>
      </c>
      <c r="C273" s="36" t="n"/>
      <c r="F273" t="n">
        <v>1</v>
      </c>
    </row>
    <row r="274">
      <c r="B274" s="47" t="inlineStr">
        <is>
          <t>Referrals</t>
        </is>
      </c>
      <c r="C274" s="36" t="n"/>
      <c r="F274" t="n">
        <v>1</v>
      </c>
    </row>
    <row r="275">
      <c r="B275" s="47" t="inlineStr">
        <is>
          <t>Market Center Development</t>
        </is>
      </c>
      <c r="C275" s="36" t="n"/>
      <c r="F275" t="n">
        <v>1</v>
      </c>
    </row>
    <row r="276">
      <c r="B276" s="47" t="inlineStr">
        <is>
          <t>Specialized CRE Training</t>
        </is>
      </c>
      <c r="C276" s="36" t="n"/>
      <c r="F276" t="n">
        <v>1</v>
      </c>
    </row>
    <row r="277" ht="48" customHeight="1">
      <c r="B277" s="43" t="inlineStr">
        <is>
          <t>What could Praedium do that would make the biggest difference in your business?</t>
        </is>
      </c>
      <c r="C277" s="44" t="n"/>
      <c r="D277" s="28" t="n"/>
      <c r="E277" s="28" t="n"/>
      <c r="F277" t="n">
        <v>1</v>
      </c>
    </row>
    <row r="278" ht="48" customHeight="1">
      <c r="B278" s="43" t="inlineStr">
        <is>
          <t>What do you need more of from me personally?</t>
        </is>
      </c>
      <c r="C278" s="44" t="n"/>
      <c r="D278" s="28" t="n"/>
      <c r="E278" s="28" t="n"/>
      <c r="F278" t="n">
        <v>1</v>
      </c>
    </row>
    <row r="279" ht="48" customHeight="1">
      <c r="B279" s="43" t="inlineStr">
        <is>
          <t>What should we be doing as a team that we are currently not doing?</t>
        </is>
      </c>
      <c r="C279" s="44" t="n"/>
      <c r="D279" s="28" t="n"/>
      <c r="E279" s="28" t="n"/>
      <c r="F279" t="n">
        <v>1</v>
      </c>
    </row>
    <row r="280" ht="48" customHeight="1">
      <c r="B280" s="43" t="inlineStr">
        <is>
          <t>What would you most like to learn during our biweekly meetings?</t>
        </is>
      </c>
      <c r="C280" s="44" t="n"/>
      <c r="D280" s="28" t="n"/>
      <c r="E280" s="28" t="n"/>
      <c r="F280" t="n">
        <v>1</v>
      </c>
    </row>
    <row r="282" ht="24" customHeight="1">
      <c r="A282" s="42" t="inlineStr">
        <is>
          <t>13. Q4 GOALS  (Oct 1 – Dec 31)</t>
        </is>
      </c>
    </row>
    <row r="283" ht="28" customHeight="1">
      <c r="A283" s="45" t="inlineStr">
        <is>
          <t>These goals feed your Weekly Scorecard — progress is tracked against them automatically.</t>
        </is>
      </c>
    </row>
    <row r="284">
      <c r="B284" s="43" t="inlineStr">
        <is>
          <t>Commercial Transaction Volume Goal ($)</t>
        </is>
      </c>
      <c r="C284" s="56" t="n"/>
      <c r="D284" s="28" t="n"/>
      <c r="E284" s="28" t="n"/>
      <c r="F284" t="n">
        <v>1</v>
      </c>
    </row>
    <row r="285">
      <c r="B285" s="43" t="inlineStr">
        <is>
          <t>Commercial GCI Goal ($)</t>
        </is>
      </c>
      <c r="C285" s="56" t="n"/>
      <c r="D285" s="28" t="n"/>
      <c r="E285" s="28" t="n"/>
      <c r="F285" t="n">
        <v>1</v>
      </c>
    </row>
    <row r="286">
      <c r="B286" s="43" t="inlineStr">
        <is>
          <t>Number of Closings</t>
        </is>
      </c>
      <c r="C286" s="44" t="n"/>
      <c r="D286" s="28" t="n"/>
      <c r="E286" s="28" t="n"/>
      <c r="F286" t="n">
        <v>1</v>
      </c>
    </row>
    <row r="287">
      <c r="B287" s="43" t="inlineStr">
        <is>
          <t>New Listings</t>
        </is>
      </c>
      <c r="C287" s="44" t="n"/>
      <c r="D287" s="28" t="n"/>
      <c r="E287" s="28" t="n"/>
      <c r="F287" t="n">
        <v>1</v>
      </c>
    </row>
    <row r="288">
      <c r="B288" s="43" t="inlineStr">
        <is>
          <t>New Buyer / Tenant Assignments</t>
        </is>
      </c>
      <c r="C288" s="44" t="n"/>
      <c r="D288" s="28" t="n"/>
      <c r="E288" s="28" t="n"/>
      <c r="F288" t="n">
        <v>1</v>
      </c>
    </row>
    <row r="289">
      <c r="B289" s="43" t="inlineStr">
        <is>
          <t>Qualified Opportunities Created</t>
        </is>
      </c>
      <c r="C289" s="44" t="n"/>
      <c r="D289" s="28" t="n"/>
      <c r="E289" s="28" t="n"/>
      <c r="F289" t="n">
        <v>1</v>
      </c>
    </row>
    <row r="290">
      <c r="B290" s="43" t="inlineStr">
        <is>
          <t>Meetings Per Month</t>
        </is>
      </c>
      <c r="C290" s="44" t="n"/>
      <c r="D290" s="28" t="n"/>
      <c r="E290" s="28" t="n"/>
      <c r="F290" t="n">
        <v>1</v>
      </c>
    </row>
    <row r="291" ht="48" customHeight="1">
      <c r="B291" s="43" t="inlineStr">
        <is>
          <t>The three most important things you want to accomplish before December 31:</t>
        </is>
      </c>
      <c r="C291" s="44" t="n"/>
      <c r="D291" s="28" t="n"/>
      <c r="E291" s="28" t="n"/>
      <c r="F291" t="n">
        <v>1</v>
      </c>
    </row>
    <row r="293" ht="24" customHeight="1">
      <c r="A293" s="42" t="inlineStr">
        <is>
          <t>14. 2027 GOALS</t>
        </is>
      </c>
    </row>
    <row r="294">
      <c r="B294" s="43" t="inlineStr">
        <is>
          <t>2027 Commercial Volume Goal ($)</t>
        </is>
      </c>
      <c r="C294" s="56" t="n"/>
      <c r="D294" s="28" t="n"/>
      <c r="E294" s="28" t="n"/>
      <c r="F294" t="n">
        <v>1</v>
      </c>
    </row>
    <row r="295">
      <c r="B295" s="43" t="inlineStr">
        <is>
          <t>2027 Commercial GCI Goal ($)</t>
        </is>
      </c>
      <c r="C295" s="56" t="n"/>
      <c r="D295" s="28" t="n"/>
      <c r="E295" s="28" t="n"/>
      <c r="F295" t="n">
        <v>1</v>
      </c>
    </row>
    <row r="296">
      <c r="B296" s="43" t="inlineStr">
        <is>
          <t>Transactions Closed</t>
        </is>
      </c>
      <c r="C296" s="44" t="n"/>
      <c r="D296" s="28" t="n"/>
      <c r="E296" s="28" t="n"/>
      <c r="F296" t="n">
        <v>1</v>
      </c>
    </row>
    <row r="297">
      <c r="B297" s="43" t="inlineStr">
        <is>
          <t>Listings Obtained</t>
        </is>
      </c>
      <c r="C297" s="44" t="n"/>
      <c r="D297" s="28" t="n"/>
      <c r="E297" s="28" t="n"/>
      <c r="F297" t="n">
        <v>1</v>
      </c>
    </row>
    <row r="298">
      <c r="B298" s="43" t="inlineStr">
        <is>
          <t>Primary Geography</t>
        </is>
      </c>
      <c r="C298" s="44" t="n"/>
      <c r="D298" s="28" t="n"/>
      <c r="E298" s="28" t="n"/>
      <c r="F298" t="n">
        <v>1</v>
      </c>
    </row>
    <row r="299">
      <c r="B299" s="43" t="inlineStr">
        <is>
          <t>Primary Product Type</t>
        </is>
      </c>
      <c r="C299" s="44" t="n"/>
      <c r="D299" s="28" t="n"/>
      <c r="E299" s="28" t="n"/>
      <c r="F299" t="n">
        <v>1</v>
      </c>
    </row>
    <row r="300">
      <c r="B300" s="43" t="inlineStr">
        <is>
          <t>What % of your business would you LIKE to be commercial by the end of 2027?</t>
        </is>
      </c>
      <c r="C300" s="57" t="n"/>
      <c r="D300" s="28" t="n"/>
      <c r="E300" s="28" t="n"/>
      <c r="F300" t="n">
        <v>1</v>
      </c>
    </row>
    <row r="301" ht="48" customHeight="1">
      <c r="B301" s="43" t="inlineStr">
        <is>
          <t>What would a successful 2027 look like to you?</t>
        </is>
      </c>
      <c r="C301" s="44" t="n"/>
      <c r="D301" s="28" t="n"/>
      <c r="E301" s="28" t="n"/>
      <c r="F301" t="n">
        <v>1</v>
      </c>
    </row>
    <row r="302" ht="48" customHeight="1">
      <c r="B302" s="43" t="inlineStr">
        <is>
          <t>What would need to change between now and then for that to happen?</t>
        </is>
      </c>
      <c r="C302" s="44" t="n"/>
      <c r="D302" s="28" t="n"/>
      <c r="E302" s="28" t="n"/>
      <c r="F302" t="n">
        <v>1</v>
      </c>
    </row>
    <row r="304" ht="24" customHeight="1">
      <c r="A304" s="42" t="inlineStr">
        <is>
          <t>15. YOUR NEXT 90 DAYS</t>
        </is>
      </c>
    </row>
    <row r="305" ht="48" customHeight="1">
      <c r="B305" s="43" t="inlineStr">
        <is>
          <t>One thing I need to STOP doing:</t>
        </is>
      </c>
      <c r="C305" s="44" t="n"/>
      <c r="D305" s="28" t="n"/>
      <c r="E305" s="28" t="n"/>
      <c r="F305" t="n">
        <v>1</v>
      </c>
    </row>
    <row r="306" ht="48" customHeight="1">
      <c r="B306" s="43" t="inlineStr">
        <is>
          <t>One thing I need to START doing:</t>
        </is>
      </c>
      <c r="C306" s="44" t="n"/>
      <c r="D306" s="28" t="n"/>
      <c r="E306" s="28" t="n"/>
      <c r="F306" t="n">
        <v>1</v>
      </c>
    </row>
    <row r="307" ht="48" customHeight="1">
      <c r="B307" s="43" t="inlineStr">
        <is>
          <t>One thing I need to CONTINUE doing:</t>
        </is>
      </c>
      <c r="C307" s="44" t="n"/>
      <c r="D307" s="28" t="n"/>
      <c r="E307" s="28" t="n"/>
      <c r="F307" t="n">
        <v>1</v>
      </c>
    </row>
    <row r="308" ht="48" customHeight="1">
      <c r="B308" s="43" t="inlineStr">
        <is>
          <t>My primary prospecting strategy will be:</t>
        </is>
      </c>
      <c r="C308" s="44" t="n"/>
      <c r="D308" s="28" t="n"/>
      <c r="E308" s="28" t="n"/>
      <c r="F308" t="n">
        <v>1</v>
      </c>
    </row>
    <row r="309" ht="48" customHeight="1">
      <c r="B309" s="43" t="inlineStr">
        <is>
          <t>My primary market / product focus will be:</t>
        </is>
      </c>
      <c r="C309" s="44" t="n"/>
      <c r="D309" s="28" t="n"/>
      <c r="E309" s="28" t="n"/>
      <c r="F309" t="n">
        <v>1</v>
      </c>
    </row>
    <row r="310" ht="48" customHeight="1">
      <c r="B310" s="43" t="inlineStr">
        <is>
          <t>The biggest improvement I want to make over the next 90 days is:</t>
        </is>
      </c>
      <c r="C310" s="44" t="n"/>
      <c r="D310" s="28" t="n"/>
      <c r="E310" s="28" t="n"/>
      <c r="F310" t="n">
        <v>1</v>
      </c>
    </row>
    <row r="311" ht="48" customHeight="1">
      <c r="B311" s="43" t="inlineStr">
        <is>
          <t>One commitment I am making to myself before our next meeting:</t>
        </is>
      </c>
      <c r="C311" s="44" t="n"/>
      <c r="D311" s="28" t="n"/>
      <c r="E311" s="28" t="n"/>
      <c r="F311" t="n">
        <v>1</v>
      </c>
    </row>
  </sheetData>
  <mergeCells count="123">
    <mergeCell ref="C44:E44"/>
    <mergeCell ref="C255:E255"/>
    <mergeCell ref="C80:E80"/>
    <mergeCell ref="A1:E1"/>
    <mergeCell ref="C192:E192"/>
    <mergeCell ref="C51:E51"/>
    <mergeCell ref="C297:E297"/>
    <mergeCell ref="C299:E299"/>
    <mergeCell ref="C7:E7"/>
    <mergeCell ref="A282:E282"/>
    <mergeCell ref="C155:E155"/>
    <mergeCell ref="C307:E307"/>
    <mergeCell ref="C18:E18"/>
    <mergeCell ref="C49:E49"/>
    <mergeCell ref="C285:E285"/>
    <mergeCell ref="A194:E194"/>
    <mergeCell ref="C77:E77"/>
    <mergeCell ref="C157:E157"/>
    <mergeCell ref="C151:E151"/>
    <mergeCell ref="C284:E284"/>
    <mergeCell ref="C74:E74"/>
    <mergeCell ref="A293:E293"/>
    <mergeCell ref="C309:E309"/>
    <mergeCell ref="D148:E148"/>
    <mergeCell ref="C20:E20"/>
    <mergeCell ref="C112:E112"/>
    <mergeCell ref="A83:E83"/>
    <mergeCell ref="C75:E75"/>
    <mergeCell ref="C311:E311"/>
    <mergeCell ref="C130:E130"/>
    <mergeCell ref="C12:E12"/>
    <mergeCell ref="C295:E295"/>
    <mergeCell ref="C46:E46"/>
    <mergeCell ref="C52:E52"/>
    <mergeCell ref="C70:E70"/>
    <mergeCell ref="C159:E159"/>
    <mergeCell ref="C48:E48"/>
    <mergeCell ref="C81:E81"/>
    <mergeCell ref="C38:E38"/>
    <mergeCell ref="C296:E296"/>
    <mergeCell ref="C131:E131"/>
    <mergeCell ref="C298:E298"/>
    <mergeCell ref="A5:E5"/>
    <mergeCell ref="A14:E14"/>
    <mergeCell ref="C116:E116"/>
    <mergeCell ref="C156:E156"/>
    <mergeCell ref="C79:E79"/>
    <mergeCell ref="C73:E73"/>
    <mergeCell ref="D129:E129"/>
    <mergeCell ref="D252:E252"/>
    <mergeCell ref="C302:E302"/>
    <mergeCell ref="A40:E40"/>
    <mergeCell ref="C10:E10"/>
    <mergeCell ref="C16:E16"/>
    <mergeCell ref="C305:E305"/>
    <mergeCell ref="C50:E50"/>
    <mergeCell ref="C173:E173"/>
    <mergeCell ref="C286:E286"/>
    <mergeCell ref="C301:E301"/>
    <mergeCell ref="C9:E9"/>
    <mergeCell ref="A228:E228"/>
    <mergeCell ref="C115:E115"/>
    <mergeCell ref="C300:E300"/>
    <mergeCell ref="C11:E11"/>
    <mergeCell ref="C278:E278"/>
    <mergeCell ref="C287:E287"/>
    <mergeCell ref="C150:E150"/>
    <mergeCell ref="A84:E84"/>
    <mergeCell ref="C158:E158"/>
    <mergeCell ref="C67:E67"/>
    <mergeCell ref="C289:E289"/>
    <mergeCell ref="C190:E190"/>
    <mergeCell ref="D171:E171"/>
    <mergeCell ref="A2:E2"/>
    <mergeCell ref="C69:E69"/>
    <mergeCell ref="C254:E254"/>
    <mergeCell ref="C78:E78"/>
    <mergeCell ref="C6:E6"/>
    <mergeCell ref="C191:E191"/>
    <mergeCell ref="C225:E225"/>
    <mergeCell ref="A72:E72"/>
    <mergeCell ref="A134:E134"/>
    <mergeCell ref="C172:E172"/>
    <mergeCell ref="C306:E306"/>
    <mergeCell ref="A176:E176"/>
    <mergeCell ref="A114:E114"/>
    <mergeCell ref="C226:E226"/>
    <mergeCell ref="A15:E15"/>
    <mergeCell ref="C277:E277"/>
    <mergeCell ref="A257:E257"/>
    <mergeCell ref="A304:E304"/>
    <mergeCell ref="C291:E291"/>
    <mergeCell ref="C43:E43"/>
    <mergeCell ref="C188:E188"/>
    <mergeCell ref="C76:E76"/>
    <mergeCell ref="C132:E132"/>
    <mergeCell ref="C110:E110"/>
    <mergeCell ref="A177:E177"/>
    <mergeCell ref="A41:E41"/>
    <mergeCell ref="C8:E8"/>
    <mergeCell ref="A283:E283"/>
    <mergeCell ref="C17:E17"/>
    <mergeCell ref="C253:E253"/>
    <mergeCell ref="C174:E174"/>
    <mergeCell ref="C149:E149"/>
    <mergeCell ref="A154:E154"/>
    <mergeCell ref="C280:E280"/>
    <mergeCell ref="C66:E66"/>
    <mergeCell ref="C308:E308"/>
    <mergeCell ref="C19:E19"/>
    <mergeCell ref="C189:E189"/>
    <mergeCell ref="A195:E195"/>
    <mergeCell ref="C111:E111"/>
    <mergeCell ref="C68:E68"/>
    <mergeCell ref="C310:E310"/>
    <mergeCell ref="C279:E279"/>
    <mergeCell ref="C288:E288"/>
    <mergeCell ref="C294:E294"/>
    <mergeCell ref="C45:E45"/>
    <mergeCell ref="C290:E290"/>
    <mergeCell ref="C152:E152"/>
    <mergeCell ref="C109:E109"/>
    <mergeCell ref="C47:E47"/>
  </mergeCells>
  <dataValidations count="20">
    <dataValidation sqref="C9" showDropDown="0" showInputMessage="0" showErrorMessage="0" allowBlank="1" type="list">
      <formula1>"Primarily Commercial,Primarily Residential,Mix of Commercial and Residential,New to Real Estate,Building My Commercial Business,Other"</formula1>
    </dataValidation>
    <dataValidation sqref="C11" showDropDown="0" showInputMessage="0" showErrorMessage="0" allowBlank="1" type="list">
      <formula1>"Yes,No,Transitioning toward it"</formula1>
    </dataValidation>
    <dataValidation sqref="C20" showDropDown="0" showInputMessage="0" showErrorMessage="0" allowBlank="1" type="list">
      <formula1>"Yes,Somewhat,No"</formula1>
    </dataValidation>
    <dataValidation sqref="C23:C29" showDropDown="0" showInputMessage="0" showErrorMessage="0" allowBlank="1" type="list">
      <formula1>"Yes,No"</formula1>
    </dataValidation>
    <dataValidation sqref="C73" showDropDown="0" showInputMessage="0" showErrorMessage="0" allowBlank="1" type="list">
      <formula1>"Almost always,Sometimes,Rarely,Never"</formula1>
    </dataValidation>
    <dataValidation sqref="C74" showDropDown="0" showInputMessage="0" showErrorMessage="0" allowBlank="1" type="list">
      <formula1>"Yes,Somewhat,No"</formula1>
    </dataValidation>
    <dataValidation sqref="C75" showDropDown="0" showInputMessage="0" showErrorMessage="0" allowBlank="1" type="list">
      <formula1>"Yes,Sometimes,No"</formula1>
    </dataValidation>
    <dataValidation sqref="C86:C108" showDropDown="0" showInputMessage="0" showErrorMessage="0" allowBlank="1" type="list">
      <formula1>"0,1,2,3,4,5"</formula1>
    </dataValidation>
    <dataValidation sqref="D86:D108" showDropDown="0" showInputMessage="0" showErrorMessage="0" allowBlank="1" type="list">
      <formula1>"Yes,No"</formula1>
    </dataValidation>
    <dataValidation sqref="C116" showDropDown="0" showInputMessage="0" showErrorMessage="0" allowBlank="1" type="list">
      <formula1>"Very few,Some,Most,Nearly all,Unsure"</formula1>
    </dataValidation>
    <dataValidation sqref="C118:C129" showDropDown="0" showInputMessage="0" showErrorMessage="0" allowBlank="1" type="list">
      <formula1>"Yes,No"</formula1>
    </dataValidation>
    <dataValidation sqref="C136:C148" showDropDown="0" showInputMessage="0" showErrorMessage="0" allowBlank="1" type="list">
      <formula1>"Yes,No"</formula1>
    </dataValidation>
    <dataValidation sqref="C150" showDropDown="0" showInputMessage="0" showErrorMessage="0" allowBlank="1" type="list">
      <formula1>"Weekly,Monthly,Quarterly,Occasionally,Almost never"</formula1>
    </dataValidation>
    <dataValidation sqref="C155" showDropDown="0" showInputMessage="0" showErrorMessage="0" allowBlank="1" type="list">
      <formula1>"Yes,Somewhat,No,Still determining it"</formula1>
    </dataValidation>
    <dataValidation sqref="C156" showDropDown="0" showInputMessage="0" showErrorMessage="0" allowBlank="1" type="list">
      <formula1>"Yes,No"</formula1>
    </dataValidation>
    <dataValidation sqref="C161:C171" showDropDown="0" showInputMessage="0" showErrorMessage="0" allowBlank="1" type="list">
      <formula1>"Yes,No"</formula1>
    </dataValidation>
    <dataValidation sqref="C192" showDropDown="0" showInputMessage="0" showErrorMessage="0" allowBlank="1" type="list">
      <formula1>"Yes,Approximately,No"</formula1>
    </dataValidation>
    <dataValidation sqref="C197:C224" showDropDown="0" showInputMessage="0" showErrorMessage="0" allowBlank="1" type="list">
      <formula1>"1,2,3,4,5"</formula1>
    </dataValidation>
    <dataValidation sqref="C230:C252" showDropDown="0" showInputMessage="0" showErrorMessage="0" allowBlank="1" type="list">
      <formula1>"Yes,No"</formula1>
    </dataValidation>
    <dataValidation sqref="C259:C2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Z8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  <col width="12" customWidth="1" min="15" max="15"/>
    <col width="9" customWidth="1" min="16" max="16"/>
    <col width="10" customWidth="1" min="17" max="17"/>
    <col width="9" customWidth="1" min="18" max="18"/>
    <col width="13" customWidth="1" min="19" max="19"/>
    <col width="12" customWidth="1" min="20" max="20"/>
    <col width="14" customWidth="1" min="21" max="21"/>
    <col width="30" customWidth="1" min="22" max="22"/>
    <col width="30" customWidth="1" min="23" max="23"/>
    <col width="30" customWidth="1" min="24" max="24"/>
    <col width="17" customWidth="1" min="25" max="25"/>
    <col width="12" customWidth="1" min="26" max="26"/>
  </cols>
  <sheetData>
    <row r="1" ht="34" customHeight="1">
      <c r="A1" s="1">
        <f>IF('Settings'!B15="","Agent 2",'Settings'!B15)&amp;" — Weekly Score Card"</f>
        <v/>
      </c>
    </row>
    <row r="2" ht="30" customHeight="1">
      <c r="A2" s="5" t="inlineStr">
        <is>
          <t>Fill in your row for the current week by Friday end of day (yellow cells). Estimates are fine. “Follow-Ups Outstanding” and “Pipeline Potential GCI” are snapshots as of the end of the week; everything else is what happened that week. Q4 progress below updates automatically.</t>
        </is>
      </c>
    </row>
    <row r="4">
      <c r="A4" s="30" t="inlineStr">
        <is>
          <t>Q4 2026 PROGRESS  (goals come from Section 13 of your Assessment)</t>
        </is>
      </c>
      <c r="H4" s="2" t="inlineStr">
        <is>
          <t>ACCOUNTABILITY</t>
        </is>
      </c>
    </row>
    <row r="5">
      <c r="A5" s="8" t="inlineStr">
        <is>
          <t>Metric</t>
        </is>
      </c>
      <c r="B5" s="31" t="n"/>
      <c r="C5" s="8" t="inlineStr">
        <is>
          <t>Q4 Goal</t>
        </is>
      </c>
      <c r="D5" s="8" t="inlineStr">
        <is>
          <t>Q4 Actual</t>
        </is>
      </c>
      <c r="E5" s="8" t="inlineStr">
        <is>
          <t>% to Goal</t>
        </is>
      </c>
      <c r="F5" s="8" t="inlineStr">
        <is>
          <t>On Pace?</t>
        </is>
      </c>
      <c r="H5" s="3" t="inlineStr">
        <is>
          <t>Weeks updated</t>
        </is>
      </c>
      <c r="K5" s="32">
        <f>COUNTIFS($A$15:$A$80,"&lt;="&amp;TODAY(),$Y$15:$Y$80,"&lt;&gt;")</f>
        <v/>
      </c>
    </row>
    <row r="6">
      <c r="A6" s="33" t="inlineStr">
        <is>
          <t>Commercial GCI</t>
        </is>
      </c>
      <c r="B6" s="34" t="n"/>
      <c r="C6" s="12">
        <f>IF('Agent 2 Assessment'!C285="","",'Agent 2 Assessment'!C285)</f>
        <v/>
      </c>
      <c r="D6" s="12">
        <f>SUMIFS($T$15:$T$80,$A$15:$A$80,"&gt;="&amp;DATE(2026,9,28),$A$15:$A$80,"&lt;="&amp;DATE(2026,12,31))</f>
        <v/>
      </c>
      <c r="E6" s="10">
        <f>IFERROR(D6/C6,"")</f>
        <v/>
      </c>
      <c r="F6" s="11">
        <f>IF(C6="","Set goal",IF(D6&gt;=C6*MAX(0,MIN(1,(TODAY()-DATE(2026,10,1))/(DATE(2026,12,31)-DATE(2026,10,1)))),"On pace","Behind"))</f>
        <v/>
      </c>
      <c r="H6" s="3" t="inlineStr">
        <is>
          <t>Weeks elapsed</t>
        </is>
      </c>
      <c r="K6" s="32">
        <f>COUNTIFS($A$15:$A$80,"&lt;="&amp;TODAY())</f>
        <v/>
      </c>
    </row>
    <row r="7">
      <c r="A7" s="33" t="inlineStr">
        <is>
          <t>Transaction Volume</t>
        </is>
      </c>
      <c r="B7" s="34" t="n"/>
      <c r="C7" s="12">
        <f>IF('Agent 2 Assessment'!C284="","",'Agent 2 Assessment'!C284)</f>
        <v/>
      </c>
      <c r="D7" s="12">
        <f>SUMIFS($S$15:$S$80,$A$15:$A$80,"&gt;="&amp;DATE(2026,9,28),$A$15:$A$80,"&lt;="&amp;DATE(2026,12,31))</f>
        <v/>
      </c>
      <c r="E7" s="10">
        <f>IFERROR(D7/C7,"")</f>
        <v/>
      </c>
      <c r="F7" s="11">
        <f>IF(C7="","Set goal",IF(D7&gt;=C7*MAX(0,MIN(1,(TODAY()-DATE(2026,10,1))/(DATE(2026,12,31)-DATE(2026,10,1)))),"On pace","Behind"))</f>
        <v/>
      </c>
      <c r="H7" s="3" t="inlineStr">
        <is>
          <t>Consistency</t>
        </is>
      </c>
      <c r="K7" s="17">
        <f>IFERROR(K5/K6,0)</f>
        <v/>
      </c>
    </row>
    <row r="8">
      <c r="A8" s="33" t="inlineStr">
        <is>
          <t>Closings</t>
        </is>
      </c>
      <c r="B8" s="34" t="n"/>
      <c r="C8" s="11">
        <f>IF('Agent 2 Assessment'!C286="","",'Agent 2 Assessment'!C286)</f>
        <v/>
      </c>
      <c r="D8" s="11">
        <f>SUMIFS($R$15:$R$80,$A$15:$A$80,"&gt;="&amp;DATE(2026,9,28),$A$15:$A$80,"&lt;="&amp;DATE(2026,12,31))</f>
        <v/>
      </c>
      <c r="E8" s="10">
        <f>IFERROR(D8/C8,"")</f>
        <v/>
      </c>
      <c r="F8" s="11">
        <f>IF(C8="","Set goal",IF(D8&gt;=C8*MAX(0,MIN(1,(TODAY()-DATE(2026,10,1))/(DATE(2026,12,31)-DATE(2026,10,1)))),"On pace","Behind"))</f>
        <v/>
      </c>
      <c r="H8" s="3" t="inlineStr">
        <is>
          <t>Avg calls / week</t>
        </is>
      </c>
      <c r="K8" s="20">
        <f>IFERROR(AVERAGEIFS($F$15:$F$80,$A$15:$A$80,"&lt;="&amp;TODAY(),$F$15:$F$80,"&lt;&gt;"),0)</f>
        <v/>
      </c>
    </row>
    <row r="9">
      <c r="A9" s="33" t="inlineStr">
        <is>
          <t>New Listings</t>
        </is>
      </c>
      <c r="B9" s="34" t="n"/>
      <c r="C9" s="11">
        <f>IF('Agent 2 Assessment'!C287="","",'Agent 2 Assessment'!C287)</f>
        <v/>
      </c>
      <c r="D9" s="11">
        <f>SUMIFS($N$15:$N$80,$A$15:$A$80,"&gt;="&amp;DATE(2026,9,28),$A$15:$A$80,"&lt;="&amp;DATE(2026,12,31))</f>
        <v/>
      </c>
      <c r="E9" s="10">
        <f>IFERROR(D9/C9,"")</f>
        <v/>
      </c>
      <c r="F9" s="11">
        <f>IF(C9="","Set goal",IF(D9&gt;=C9*MAX(0,MIN(1,(TODAY()-DATE(2026,10,1))/(DATE(2026,12,31)-DATE(2026,10,1)))),"On pace","Behind"))</f>
        <v/>
      </c>
      <c r="H9" s="3" t="inlineStr">
        <is>
          <t>Avg meetings / week</t>
        </is>
      </c>
      <c r="K9" s="20">
        <f>IFERROR(AVERAGEIFS($H$15:$H$80,$A$15:$A$80,"&lt;="&amp;TODAY(),$H$15:$H$80,"&lt;&gt;"),0)</f>
        <v/>
      </c>
    </row>
    <row r="10">
      <c r="A10" s="33" t="inlineStr">
        <is>
          <t>New Buyer / Tenant Assignments</t>
        </is>
      </c>
      <c r="B10" s="34" t="n"/>
      <c r="C10" s="11">
        <f>IF('Agent 2 Assessment'!C288="","",'Agent 2 Assessment'!C288)</f>
        <v/>
      </c>
      <c r="D10" s="11">
        <f>SUMIFS($O$15:$O$80,$A$15:$A$80,"&gt;="&amp;DATE(2026,9,28),$A$15:$A$80,"&lt;="&amp;DATE(2026,12,31))</f>
        <v/>
      </c>
      <c r="E10" s="10">
        <f>IFERROR(D10/C10,"")</f>
        <v/>
      </c>
      <c r="F10" s="11">
        <f>IF(C10="","Set goal",IF(D10&gt;=C10*MAX(0,MIN(1,(TODAY()-DATE(2026,10,1))/(DATE(2026,12,31)-DATE(2026,10,1)))),"On pace","Behind"))</f>
        <v/>
      </c>
      <c r="H10" s="3" t="inlineStr">
        <is>
          <t>Latest pipeline GCI</t>
        </is>
      </c>
      <c r="K10" s="19">
        <f>IFERROR(INDEX($U$15:$U$80,MATCH(1E+100,$U$15:$U$80)),"")</f>
        <v/>
      </c>
    </row>
    <row r="11">
      <c r="A11" s="33" t="inlineStr">
        <is>
          <t>Qualified Opportunities Created</t>
        </is>
      </c>
      <c r="B11" s="34" t="n"/>
      <c r="C11" s="11">
        <f>IF('Agent 2 Assessment'!C289="","",'Agent 2 Assessment'!C289)</f>
        <v/>
      </c>
      <c r="D11" s="11">
        <f>SUMIFS($I$15:$I$80,$A$15:$A$80,"&gt;="&amp;DATE(2026,9,28),$A$15:$A$80,"&lt;="&amp;DATE(2026,12,31))</f>
        <v/>
      </c>
      <c r="E11" s="10">
        <f>IFERROR(D11/C11,"")</f>
        <v/>
      </c>
      <c r="F11" s="11">
        <f>IF(C11="","Set goal",IF(D11&gt;=C11*MAX(0,MIN(1,(TODAY()-DATE(2026,10,1))/(DATE(2026,12,31)-DATE(2026,10,1)))),"On pace","Behind"))</f>
        <v/>
      </c>
      <c r="H11" s="3" t="inlineStr">
        <is>
          <t>Assessment complete</t>
        </is>
      </c>
      <c r="K11" s="17">
        <f>'Agent 2 Assessment'!C3</f>
        <v/>
      </c>
    </row>
    <row r="12">
      <c r="A12" s="33" t="inlineStr">
        <is>
          <t>Meetings (goal = per month × 3)</t>
        </is>
      </c>
      <c r="B12" s="34" t="n"/>
      <c r="C12" s="11">
        <f>IF('Agent 2 Assessment'!C290="","",'Agent 2 Assessment'!C290*3)</f>
        <v/>
      </c>
      <c r="D12" s="11">
        <f>SUMIFS($H$15:$H$80,$A$15:$A$80,"&gt;="&amp;DATE(2026,9,28),$A$15:$A$80,"&lt;="&amp;DATE(2026,12,31))</f>
        <v/>
      </c>
      <c r="E12" s="10">
        <f>IFERROR(D12/C12,"")</f>
        <v/>
      </c>
      <c r="F12" s="11">
        <f>IF(C12="","Set goal",IF(D12&gt;=C12*MAX(0,MIN(1,(TODAY()-DATE(2026,10,1))/(DATE(2026,12,31)-DATE(2026,10,1)))),"On pace","Behind"))</f>
        <v/>
      </c>
    </row>
    <row r="14" ht="48" customHeight="1">
      <c r="A14" s="8" t="inlineStr">
        <is>
          <t>Week Of (Mon)</t>
        </is>
      </c>
      <c r="B14" s="8" t="inlineStr">
        <is>
          <t>Days Worked</t>
        </is>
      </c>
      <c r="C14" s="8" t="inlineStr">
        <is>
          <t>Total RE Hours</t>
        </is>
      </c>
      <c r="D14" s="8" t="inlineStr">
        <is>
          <t>Commercial Hours</t>
        </is>
      </c>
      <c r="E14" s="8" t="inlineStr">
        <is>
          <t>Prospecting Hours</t>
        </is>
      </c>
      <c r="F14" s="8" t="inlineStr">
        <is>
          <t>Calls / Outreach Attempts</t>
        </is>
      </c>
      <c r="G14" s="8" t="inlineStr">
        <is>
          <t>Decision-Maker Conversations</t>
        </is>
      </c>
      <c r="H14" s="8" t="inlineStr">
        <is>
          <t>Prospect / Client Meetings</t>
        </is>
      </c>
      <c r="I14" s="8" t="inlineStr">
        <is>
          <t>New Opportunities Created</t>
        </is>
      </c>
      <c r="J14" s="8" t="inlineStr">
        <is>
          <t>New Database Contacts</t>
        </is>
      </c>
      <c r="K14" s="8" t="inlineStr">
        <is>
          <t>Follow-Ups Outstanding</t>
        </is>
      </c>
      <c r="L14" s="8" t="inlineStr">
        <is>
          <t>Market Center Agent Conversations</t>
        </is>
      </c>
      <c r="M14" s="8" t="inlineStr">
        <is>
          <t>Sphere Touches</t>
        </is>
      </c>
      <c r="N14" s="8" t="inlineStr">
        <is>
          <t>New Listings</t>
        </is>
      </c>
      <c r="O14" s="8" t="inlineStr">
        <is>
          <t>New Buyer / Tenant Assignments</t>
        </is>
      </c>
      <c r="P14" s="8" t="inlineStr">
        <is>
          <t>LOIs Submitted</t>
        </is>
      </c>
      <c r="Q14" s="8" t="inlineStr">
        <is>
          <t>Went Under Contract</t>
        </is>
      </c>
      <c r="R14" s="8" t="inlineStr">
        <is>
          <t>Closings</t>
        </is>
      </c>
      <c r="S14" s="8" t="inlineStr">
        <is>
          <t>Volume Closed ($)</t>
        </is>
      </c>
      <c r="T14" s="8" t="inlineStr">
        <is>
          <t>GCI Closed ($)</t>
        </is>
      </c>
      <c r="U14" s="8" t="inlineStr">
        <is>
          <t>Pipeline Potential GCI ($)</t>
        </is>
      </c>
      <c r="V14" s="8" t="inlineStr">
        <is>
          <t>Win of the Week</t>
        </is>
      </c>
      <c r="W14" s="8" t="inlineStr">
        <is>
          <t>Biggest Obstacle</t>
        </is>
      </c>
      <c r="X14" s="8" t="inlineStr">
        <is>
          <t>#1 Focus Next Week</t>
        </is>
      </c>
      <c r="Y14" s="8" t="inlineStr">
        <is>
          <t>Last Updated (auto)</t>
        </is>
      </c>
      <c r="Z14" s="8" t="inlineStr">
        <is>
          <t>Status</t>
        </is>
      </c>
    </row>
    <row r="15">
      <c r="A15" s="35" t="n">
        <v>46293</v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7" t="n"/>
      <c r="T15" s="37" t="n"/>
      <c r="U15" s="37" t="n"/>
      <c r="V15" s="38" t="n"/>
      <c r="W15" s="38" t="n"/>
      <c r="X15" s="38" t="n"/>
      <c r="Y15" s="39" t="n"/>
      <c r="Z15" s="11">
        <f>IF(A15&gt;TODAY(),"Upcoming",IF(Y15&lt;&gt;"","✓ Updated",IF(A15+6&gt;=TODAY(),"Due Friday","⚠ Missing")))</f>
        <v/>
      </c>
    </row>
    <row r="16">
      <c r="A16" s="35" t="n">
        <v>46300</v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7" t="n"/>
      <c r="T16" s="37" t="n"/>
      <c r="U16" s="37" t="n"/>
      <c r="V16" s="38" t="n"/>
      <c r="W16" s="38" t="n"/>
      <c r="X16" s="38" t="n"/>
      <c r="Y16" s="39" t="n"/>
      <c r="Z16" s="11">
        <f>IF(A16&gt;TODAY(),"Upcoming",IF(Y16&lt;&gt;"","✓ Updated",IF(A16+6&gt;=TODAY(),"Due Friday","⚠ Missing")))</f>
        <v/>
      </c>
    </row>
    <row r="17">
      <c r="A17" s="35" t="n">
        <v>46307</v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7" t="n"/>
      <c r="T17" s="37" t="n"/>
      <c r="U17" s="37" t="n"/>
      <c r="V17" s="38" t="n"/>
      <c r="W17" s="38" t="n"/>
      <c r="X17" s="38" t="n"/>
      <c r="Y17" s="39" t="n"/>
      <c r="Z17" s="11">
        <f>IF(A17&gt;TODAY(),"Upcoming",IF(Y17&lt;&gt;"","✓ Updated",IF(A17+6&gt;=TODAY(),"Due Friday","⚠ Missing")))</f>
        <v/>
      </c>
    </row>
    <row r="18">
      <c r="A18" s="35" t="n">
        <v>46314</v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7" t="n"/>
      <c r="T18" s="37" t="n"/>
      <c r="U18" s="37" t="n"/>
      <c r="V18" s="38" t="n"/>
      <c r="W18" s="38" t="n"/>
      <c r="X18" s="38" t="n"/>
      <c r="Y18" s="39" t="n"/>
      <c r="Z18" s="11">
        <f>IF(A18&gt;TODAY(),"Upcoming",IF(Y18&lt;&gt;"","✓ Updated",IF(A18+6&gt;=TODAY(),"Due Friday","⚠ Missing")))</f>
        <v/>
      </c>
    </row>
    <row r="19">
      <c r="A19" s="35" t="n">
        <v>46321</v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7" t="n"/>
      <c r="T19" s="37" t="n"/>
      <c r="U19" s="37" t="n"/>
      <c r="V19" s="38" t="n"/>
      <c r="W19" s="38" t="n"/>
      <c r="X19" s="38" t="n"/>
      <c r="Y19" s="39" t="n"/>
      <c r="Z19" s="11">
        <f>IF(A19&gt;TODAY(),"Upcoming",IF(Y19&lt;&gt;"","✓ Updated",IF(A19+6&gt;=TODAY(),"Due Friday","⚠ Missing")))</f>
        <v/>
      </c>
    </row>
    <row r="20">
      <c r="A20" s="35" t="n">
        <v>46328</v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7" t="n"/>
      <c r="T20" s="37" t="n"/>
      <c r="U20" s="37" t="n"/>
      <c r="V20" s="38" t="n"/>
      <c r="W20" s="38" t="n"/>
      <c r="X20" s="38" t="n"/>
      <c r="Y20" s="39" t="n"/>
      <c r="Z20" s="11">
        <f>IF(A20&gt;TODAY(),"Upcoming",IF(Y20&lt;&gt;"","✓ Updated",IF(A20+6&gt;=TODAY(),"Due Friday","⚠ Missing")))</f>
        <v/>
      </c>
    </row>
    <row r="21">
      <c r="A21" s="35" t="n">
        <v>46335</v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7" t="n"/>
      <c r="T21" s="37" t="n"/>
      <c r="U21" s="37" t="n"/>
      <c r="V21" s="38" t="n"/>
      <c r="W21" s="38" t="n"/>
      <c r="X21" s="38" t="n"/>
      <c r="Y21" s="39" t="n"/>
      <c r="Z21" s="11">
        <f>IF(A21&gt;TODAY(),"Upcoming",IF(Y21&lt;&gt;"","✓ Updated",IF(A21+6&gt;=TODAY(),"Due Friday","⚠ Missing")))</f>
        <v/>
      </c>
    </row>
    <row r="22">
      <c r="A22" s="35" t="n">
        <v>46342</v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7" t="n"/>
      <c r="T22" s="37" t="n"/>
      <c r="U22" s="37" t="n"/>
      <c r="V22" s="38" t="n"/>
      <c r="W22" s="38" t="n"/>
      <c r="X22" s="38" t="n"/>
      <c r="Y22" s="39" t="n"/>
      <c r="Z22" s="11">
        <f>IF(A22&gt;TODAY(),"Upcoming",IF(Y22&lt;&gt;"","✓ Updated",IF(A22+6&gt;=TODAY(),"Due Friday","⚠ Missing")))</f>
        <v/>
      </c>
    </row>
    <row r="23">
      <c r="A23" s="35" t="n">
        <v>46349</v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7" t="n"/>
      <c r="T23" s="37" t="n"/>
      <c r="U23" s="37" t="n"/>
      <c r="V23" s="38" t="n"/>
      <c r="W23" s="38" t="n"/>
      <c r="X23" s="38" t="n"/>
      <c r="Y23" s="39" t="n"/>
      <c r="Z23" s="11">
        <f>IF(A23&gt;TODAY(),"Upcoming",IF(Y23&lt;&gt;"","✓ Updated",IF(A23+6&gt;=TODAY(),"Due Friday","⚠ Missing")))</f>
        <v/>
      </c>
    </row>
    <row r="24">
      <c r="A24" s="35" t="n">
        <v>46356</v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7" t="n"/>
      <c r="T24" s="37" t="n"/>
      <c r="U24" s="37" t="n"/>
      <c r="V24" s="38" t="n"/>
      <c r="W24" s="38" t="n"/>
      <c r="X24" s="38" t="n"/>
      <c r="Y24" s="39" t="n"/>
      <c r="Z24" s="11">
        <f>IF(A24&gt;TODAY(),"Upcoming",IF(Y24&lt;&gt;"","✓ Updated",IF(A24+6&gt;=TODAY(),"Due Friday","⚠ Missing")))</f>
        <v/>
      </c>
    </row>
    <row r="25">
      <c r="A25" s="35" t="n">
        <v>46363</v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7" t="n"/>
      <c r="T25" s="37" t="n"/>
      <c r="U25" s="37" t="n"/>
      <c r="V25" s="38" t="n"/>
      <c r="W25" s="38" t="n"/>
      <c r="X25" s="38" t="n"/>
      <c r="Y25" s="39" t="n"/>
      <c r="Z25" s="11">
        <f>IF(A25&gt;TODAY(),"Upcoming",IF(Y25&lt;&gt;"","✓ Updated",IF(A25+6&gt;=TODAY(),"Due Friday","⚠ Missing")))</f>
        <v/>
      </c>
    </row>
    <row r="26">
      <c r="A26" s="35" t="n">
        <v>46370</v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7" t="n"/>
      <c r="T26" s="37" t="n"/>
      <c r="U26" s="37" t="n"/>
      <c r="V26" s="38" t="n"/>
      <c r="W26" s="38" t="n"/>
      <c r="X26" s="38" t="n"/>
      <c r="Y26" s="39" t="n"/>
      <c r="Z26" s="11">
        <f>IF(A26&gt;TODAY(),"Upcoming",IF(Y26&lt;&gt;"","✓ Updated",IF(A26+6&gt;=TODAY(),"Due Friday","⚠ Missing")))</f>
        <v/>
      </c>
    </row>
    <row r="27">
      <c r="A27" s="35" t="n">
        <v>46377</v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7" t="n"/>
      <c r="T27" s="37" t="n"/>
      <c r="U27" s="37" t="n"/>
      <c r="V27" s="38" t="n"/>
      <c r="W27" s="38" t="n"/>
      <c r="X27" s="38" t="n"/>
      <c r="Y27" s="39" t="n"/>
      <c r="Z27" s="11">
        <f>IF(A27&gt;TODAY(),"Upcoming",IF(Y27&lt;&gt;"","✓ Updated",IF(A27+6&gt;=TODAY(),"Due Friday","⚠ Missing")))</f>
        <v/>
      </c>
    </row>
    <row r="28">
      <c r="A28" s="35" t="n">
        <v>46384</v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7" t="n"/>
      <c r="T28" s="37" t="n"/>
      <c r="U28" s="37" t="n"/>
      <c r="V28" s="38" t="n"/>
      <c r="W28" s="38" t="n"/>
      <c r="X28" s="38" t="n"/>
      <c r="Y28" s="39" t="n"/>
      <c r="Z28" s="11">
        <f>IF(A28&gt;TODAY(),"Upcoming",IF(Y28&lt;&gt;"","✓ Updated",IF(A28+6&gt;=TODAY(),"Due Friday","⚠ Missing")))</f>
        <v/>
      </c>
    </row>
    <row r="29">
      <c r="A29" s="35" t="n">
        <v>46391</v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7" t="n"/>
      <c r="T29" s="37" t="n"/>
      <c r="U29" s="37" t="n"/>
      <c r="V29" s="38" t="n"/>
      <c r="W29" s="38" t="n"/>
      <c r="X29" s="38" t="n"/>
      <c r="Y29" s="39" t="n"/>
      <c r="Z29" s="11">
        <f>IF(A29&gt;TODAY(),"Upcoming",IF(Y29&lt;&gt;"","✓ Updated",IF(A29+6&gt;=TODAY(),"Due Friday","⚠ Missing")))</f>
        <v/>
      </c>
    </row>
    <row r="30">
      <c r="A30" s="35" t="n">
        <v>46398</v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7" t="n"/>
      <c r="T30" s="37" t="n"/>
      <c r="U30" s="37" t="n"/>
      <c r="V30" s="38" t="n"/>
      <c r="W30" s="38" t="n"/>
      <c r="X30" s="38" t="n"/>
      <c r="Y30" s="39" t="n"/>
      <c r="Z30" s="11">
        <f>IF(A30&gt;TODAY(),"Upcoming",IF(Y30&lt;&gt;"","✓ Updated",IF(A30+6&gt;=TODAY(),"Due Friday","⚠ Missing")))</f>
        <v/>
      </c>
    </row>
    <row r="31">
      <c r="A31" s="35" t="n">
        <v>46405</v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7" t="n"/>
      <c r="T31" s="37" t="n"/>
      <c r="U31" s="37" t="n"/>
      <c r="V31" s="38" t="n"/>
      <c r="W31" s="38" t="n"/>
      <c r="X31" s="38" t="n"/>
      <c r="Y31" s="39" t="n"/>
      <c r="Z31" s="11">
        <f>IF(A31&gt;TODAY(),"Upcoming",IF(Y31&lt;&gt;"","✓ Updated",IF(A31+6&gt;=TODAY(),"Due Friday","⚠ Missing")))</f>
        <v/>
      </c>
    </row>
    <row r="32">
      <c r="A32" s="35" t="n">
        <v>46412</v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7" t="n"/>
      <c r="T32" s="37" t="n"/>
      <c r="U32" s="37" t="n"/>
      <c r="V32" s="38" t="n"/>
      <c r="W32" s="38" t="n"/>
      <c r="X32" s="38" t="n"/>
      <c r="Y32" s="39" t="n"/>
      <c r="Z32" s="11">
        <f>IF(A32&gt;TODAY(),"Upcoming",IF(Y32&lt;&gt;"","✓ Updated",IF(A32+6&gt;=TODAY(),"Due Friday","⚠ Missing")))</f>
        <v/>
      </c>
    </row>
    <row r="33">
      <c r="A33" s="35" t="n">
        <v>46419</v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7" t="n"/>
      <c r="T33" s="37" t="n"/>
      <c r="U33" s="37" t="n"/>
      <c r="V33" s="38" t="n"/>
      <c r="W33" s="38" t="n"/>
      <c r="X33" s="38" t="n"/>
      <c r="Y33" s="39" t="n"/>
      <c r="Z33" s="11">
        <f>IF(A33&gt;TODAY(),"Upcoming",IF(Y33&lt;&gt;"","✓ Updated",IF(A33+6&gt;=TODAY(),"Due Friday","⚠ Missing")))</f>
        <v/>
      </c>
    </row>
    <row r="34">
      <c r="A34" s="35" t="n">
        <v>46426</v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7" t="n"/>
      <c r="T34" s="37" t="n"/>
      <c r="U34" s="37" t="n"/>
      <c r="V34" s="38" t="n"/>
      <c r="W34" s="38" t="n"/>
      <c r="X34" s="38" t="n"/>
      <c r="Y34" s="39" t="n"/>
      <c r="Z34" s="11">
        <f>IF(A34&gt;TODAY(),"Upcoming",IF(Y34&lt;&gt;"","✓ Updated",IF(A34+6&gt;=TODAY(),"Due Friday","⚠ Missing")))</f>
        <v/>
      </c>
    </row>
    <row r="35">
      <c r="A35" s="35" t="n">
        <v>46433</v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7" t="n"/>
      <c r="T35" s="37" t="n"/>
      <c r="U35" s="37" t="n"/>
      <c r="V35" s="38" t="n"/>
      <c r="W35" s="38" t="n"/>
      <c r="X35" s="38" t="n"/>
      <c r="Y35" s="39" t="n"/>
      <c r="Z35" s="11">
        <f>IF(A35&gt;TODAY(),"Upcoming",IF(Y35&lt;&gt;"","✓ Updated",IF(A35+6&gt;=TODAY(),"Due Friday","⚠ Missing")))</f>
        <v/>
      </c>
    </row>
    <row r="36">
      <c r="A36" s="35" t="n">
        <v>46440</v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7" t="n"/>
      <c r="T36" s="37" t="n"/>
      <c r="U36" s="37" t="n"/>
      <c r="V36" s="38" t="n"/>
      <c r="W36" s="38" t="n"/>
      <c r="X36" s="38" t="n"/>
      <c r="Y36" s="39" t="n"/>
      <c r="Z36" s="11">
        <f>IF(A36&gt;TODAY(),"Upcoming",IF(Y36&lt;&gt;"","✓ Updated",IF(A36+6&gt;=TODAY(),"Due Friday","⚠ Missing")))</f>
        <v/>
      </c>
    </row>
    <row r="37">
      <c r="A37" s="35" t="n">
        <v>46447</v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7" t="n"/>
      <c r="T37" s="37" t="n"/>
      <c r="U37" s="37" t="n"/>
      <c r="V37" s="38" t="n"/>
      <c r="W37" s="38" t="n"/>
      <c r="X37" s="38" t="n"/>
      <c r="Y37" s="39" t="n"/>
      <c r="Z37" s="11">
        <f>IF(A37&gt;TODAY(),"Upcoming",IF(Y37&lt;&gt;"","✓ Updated",IF(A37+6&gt;=TODAY(),"Due Friday","⚠ Missing")))</f>
        <v/>
      </c>
    </row>
    <row r="38">
      <c r="A38" s="35" t="n">
        <v>46454</v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7" t="n"/>
      <c r="T38" s="37" t="n"/>
      <c r="U38" s="37" t="n"/>
      <c r="V38" s="38" t="n"/>
      <c r="W38" s="38" t="n"/>
      <c r="X38" s="38" t="n"/>
      <c r="Y38" s="39" t="n"/>
      <c r="Z38" s="11">
        <f>IF(A38&gt;TODAY(),"Upcoming",IF(Y38&lt;&gt;"","✓ Updated",IF(A38+6&gt;=TODAY(),"Due Friday","⚠ Missing")))</f>
        <v/>
      </c>
    </row>
    <row r="39">
      <c r="A39" s="35" t="n">
        <v>46461</v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7" t="n"/>
      <c r="T39" s="37" t="n"/>
      <c r="U39" s="37" t="n"/>
      <c r="V39" s="38" t="n"/>
      <c r="W39" s="38" t="n"/>
      <c r="X39" s="38" t="n"/>
      <c r="Y39" s="39" t="n"/>
      <c r="Z39" s="11">
        <f>IF(A39&gt;TODAY(),"Upcoming",IF(Y39&lt;&gt;"","✓ Updated",IF(A39+6&gt;=TODAY(),"Due Friday","⚠ Missing")))</f>
        <v/>
      </c>
    </row>
    <row r="40">
      <c r="A40" s="35" t="n">
        <v>46468</v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7" t="n"/>
      <c r="T40" s="37" t="n"/>
      <c r="U40" s="37" t="n"/>
      <c r="V40" s="38" t="n"/>
      <c r="W40" s="38" t="n"/>
      <c r="X40" s="38" t="n"/>
      <c r="Y40" s="39" t="n"/>
      <c r="Z40" s="11">
        <f>IF(A40&gt;TODAY(),"Upcoming",IF(Y40&lt;&gt;"","✓ Updated",IF(A40+6&gt;=TODAY(),"Due Friday","⚠ Missing")))</f>
        <v/>
      </c>
    </row>
    <row r="41">
      <c r="A41" s="35" t="n">
        <v>46475</v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7" t="n"/>
      <c r="T41" s="37" t="n"/>
      <c r="U41" s="37" t="n"/>
      <c r="V41" s="38" t="n"/>
      <c r="W41" s="38" t="n"/>
      <c r="X41" s="38" t="n"/>
      <c r="Y41" s="39" t="n"/>
      <c r="Z41" s="11">
        <f>IF(A41&gt;TODAY(),"Upcoming",IF(Y41&lt;&gt;"","✓ Updated",IF(A41+6&gt;=TODAY(),"Due Friday","⚠ Missing")))</f>
        <v/>
      </c>
    </row>
    <row r="42">
      <c r="A42" s="35" t="n">
        <v>46482</v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7" t="n"/>
      <c r="T42" s="37" t="n"/>
      <c r="U42" s="37" t="n"/>
      <c r="V42" s="38" t="n"/>
      <c r="W42" s="38" t="n"/>
      <c r="X42" s="38" t="n"/>
      <c r="Y42" s="39" t="n"/>
      <c r="Z42" s="11">
        <f>IF(A42&gt;TODAY(),"Upcoming",IF(Y42&lt;&gt;"","✓ Updated",IF(A42+6&gt;=TODAY(),"Due Friday","⚠ Missing")))</f>
        <v/>
      </c>
    </row>
    <row r="43">
      <c r="A43" s="35" t="n">
        <v>46489</v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7" t="n"/>
      <c r="T43" s="37" t="n"/>
      <c r="U43" s="37" t="n"/>
      <c r="V43" s="38" t="n"/>
      <c r="W43" s="38" t="n"/>
      <c r="X43" s="38" t="n"/>
      <c r="Y43" s="39" t="n"/>
      <c r="Z43" s="11">
        <f>IF(A43&gt;TODAY(),"Upcoming",IF(Y43&lt;&gt;"","✓ Updated",IF(A43+6&gt;=TODAY(),"Due Friday","⚠ Missing")))</f>
        <v/>
      </c>
    </row>
    <row r="44">
      <c r="A44" s="35" t="n">
        <v>46496</v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7" t="n"/>
      <c r="T44" s="37" t="n"/>
      <c r="U44" s="37" t="n"/>
      <c r="V44" s="38" t="n"/>
      <c r="W44" s="38" t="n"/>
      <c r="X44" s="38" t="n"/>
      <c r="Y44" s="39" t="n"/>
      <c r="Z44" s="11">
        <f>IF(A44&gt;TODAY(),"Upcoming",IF(Y44&lt;&gt;"","✓ Updated",IF(A44+6&gt;=TODAY(),"Due Friday","⚠ Missing")))</f>
        <v/>
      </c>
    </row>
    <row r="45">
      <c r="A45" s="35" t="n">
        <v>46503</v>
      </c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7" t="n"/>
      <c r="T45" s="37" t="n"/>
      <c r="U45" s="37" t="n"/>
      <c r="V45" s="38" t="n"/>
      <c r="W45" s="38" t="n"/>
      <c r="X45" s="38" t="n"/>
      <c r="Y45" s="39" t="n"/>
      <c r="Z45" s="11">
        <f>IF(A45&gt;TODAY(),"Upcoming",IF(Y45&lt;&gt;"","✓ Updated",IF(A45+6&gt;=TODAY(),"Due Friday","⚠ Missing")))</f>
        <v/>
      </c>
    </row>
    <row r="46">
      <c r="A46" s="35" t="n">
        <v>46510</v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7" t="n"/>
      <c r="T46" s="37" t="n"/>
      <c r="U46" s="37" t="n"/>
      <c r="V46" s="38" t="n"/>
      <c r="W46" s="38" t="n"/>
      <c r="X46" s="38" t="n"/>
      <c r="Y46" s="39" t="n"/>
      <c r="Z46" s="11">
        <f>IF(A46&gt;TODAY(),"Upcoming",IF(Y46&lt;&gt;"","✓ Updated",IF(A46+6&gt;=TODAY(),"Due Friday","⚠ Missing")))</f>
        <v/>
      </c>
    </row>
    <row r="47">
      <c r="A47" s="35" t="n">
        <v>46517</v>
      </c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7" t="n"/>
      <c r="T47" s="37" t="n"/>
      <c r="U47" s="37" t="n"/>
      <c r="V47" s="38" t="n"/>
      <c r="W47" s="38" t="n"/>
      <c r="X47" s="38" t="n"/>
      <c r="Y47" s="39" t="n"/>
      <c r="Z47" s="11">
        <f>IF(A47&gt;TODAY(),"Upcoming",IF(Y47&lt;&gt;"","✓ Updated",IF(A47+6&gt;=TODAY(),"Due Friday","⚠ Missing")))</f>
        <v/>
      </c>
    </row>
    <row r="48">
      <c r="A48" s="35" t="n">
        <v>46524</v>
      </c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7" t="n"/>
      <c r="T48" s="37" t="n"/>
      <c r="U48" s="37" t="n"/>
      <c r="V48" s="38" t="n"/>
      <c r="W48" s="38" t="n"/>
      <c r="X48" s="38" t="n"/>
      <c r="Y48" s="39" t="n"/>
      <c r="Z48" s="11">
        <f>IF(A48&gt;TODAY(),"Upcoming",IF(Y48&lt;&gt;"","✓ Updated",IF(A48+6&gt;=TODAY(),"Due Friday","⚠ Missing")))</f>
        <v/>
      </c>
    </row>
    <row r="49">
      <c r="A49" s="35" t="n">
        <v>46531</v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7" t="n"/>
      <c r="T49" s="37" t="n"/>
      <c r="U49" s="37" t="n"/>
      <c r="V49" s="38" t="n"/>
      <c r="W49" s="38" t="n"/>
      <c r="X49" s="38" t="n"/>
      <c r="Y49" s="39" t="n"/>
      <c r="Z49" s="11">
        <f>IF(A49&gt;TODAY(),"Upcoming",IF(Y49&lt;&gt;"","✓ Updated",IF(A49+6&gt;=TODAY(),"Due Friday","⚠ Missing")))</f>
        <v/>
      </c>
    </row>
    <row r="50">
      <c r="A50" s="35" t="n">
        <v>46538</v>
      </c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7" t="n"/>
      <c r="T50" s="37" t="n"/>
      <c r="U50" s="37" t="n"/>
      <c r="V50" s="38" t="n"/>
      <c r="W50" s="38" t="n"/>
      <c r="X50" s="38" t="n"/>
      <c r="Y50" s="39" t="n"/>
      <c r="Z50" s="11">
        <f>IF(A50&gt;TODAY(),"Upcoming",IF(Y50&lt;&gt;"","✓ Updated",IF(A50+6&gt;=TODAY(),"Due Friday","⚠ Missing")))</f>
        <v/>
      </c>
    </row>
    <row r="51">
      <c r="A51" s="35" t="n">
        <v>46545</v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7" t="n"/>
      <c r="T51" s="37" t="n"/>
      <c r="U51" s="37" t="n"/>
      <c r="V51" s="38" t="n"/>
      <c r="W51" s="38" t="n"/>
      <c r="X51" s="38" t="n"/>
      <c r="Y51" s="39" t="n"/>
      <c r="Z51" s="11">
        <f>IF(A51&gt;TODAY(),"Upcoming",IF(Y51&lt;&gt;"","✓ Updated",IF(A51+6&gt;=TODAY(),"Due Friday","⚠ Missing")))</f>
        <v/>
      </c>
    </row>
    <row r="52">
      <c r="A52" s="35" t="n">
        <v>46552</v>
      </c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7" t="n"/>
      <c r="T52" s="37" t="n"/>
      <c r="U52" s="37" t="n"/>
      <c r="V52" s="38" t="n"/>
      <c r="W52" s="38" t="n"/>
      <c r="X52" s="38" t="n"/>
      <c r="Y52" s="39" t="n"/>
      <c r="Z52" s="11">
        <f>IF(A52&gt;TODAY(),"Upcoming",IF(Y52&lt;&gt;"","✓ Updated",IF(A52+6&gt;=TODAY(),"Due Friday","⚠ Missing")))</f>
        <v/>
      </c>
    </row>
    <row r="53">
      <c r="A53" s="35" t="n">
        <v>46559</v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7" t="n"/>
      <c r="T53" s="37" t="n"/>
      <c r="U53" s="37" t="n"/>
      <c r="V53" s="38" t="n"/>
      <c r="W53" s="38" t="n"/>
      <c r="X53" s="38" t="n"/>
      <c r="Y53" s="39" t="n"/>
      <c r="Z53" s="11">
        <f>IF(A53&gt;TODAY(),"Upcoming",IF(Y53&lt;&gt;"","✓ Updated",IF(A53+6&gt;=TODAY(),"Due Friday","⚠ Missing")))</f>
        <v/>
      </c>
    </row>
    <row r="54">
      <c r="A54" s="35" t="n">
        <v>46566</v>
      </c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7" t="n"/>
      <c r="T54" s="37" t="n"/>
      <c r="U54" s="37" t="n"/>
      <c r="V54" s="38" t="n"/>
      <c r="W54" s="38" t="n"/>
      <c r="X54" s="38" t="n"/>
      <c r="Y54" s="39" t="n"/>
      <c r="Z54" s="11">
        <f>IF(A54&gt;TODAY(),"Upcoming",IF(Y54&lt;&gt;"","✓ Updated",IF(A54+6&gt;=TODAY(),"Due Friday","⚠ Missing")))</f>
        <v/>
      </c>
    </row>
    <row r="55">
      <c r="A55" s="35" t="n">
        <v>46573</v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7" t="n"/>
      <c r="T55" s="37" t="n"/>
      <c r="U55" s="37" t="n"/>
      <c r="V55" s="38" t="n"/>
      <c r="W55" s="38" t="n"/>
      <c r="X55" s="38" t="n"/>
      <c r="Y55" s="39" t="n"/>
      <c r="Z55" s="11">
        <f>IF(A55&gt;TODAY(),"Upcoming",IF(Y55&lt;&gt;"","✓ Updated",IF(A55+6&gt;=TODAY(),"Due Friday","⚠ Missing")))</f>
        <v/>
      </c>
    </row>
    <row r="56">
      <c r="A56" s="35" t="n">
        <v>46580</v>
      </c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7" t="n"/>
      <c r="T56" s="37" t="n"/>
      <c r="U56" s="37" t="n"/>
      <c r="V56" s="38" t="n"/>
      <c r="W56" s="38" t="n"/>
      <c r="X56" s="38" t="n"/>
      <c r="Y56" s="39" t="n"/>
      <c r="Z56" s="11">
        <f>IF(A56&gt;TODAY(),"Upcoming",IF(Y56&lt;&gt;"","✓ Updated",IF(A56+6&gt;=TODAY(),"Due Friday","⚠ Missing")))</f>
        <v/>
      </c>
    </row>
    <row r="57">
      <c r="A57" s="35" t="n">
        <v>46587</v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7" t="n"/>
      <c r="T57" s="37" t="n"/>
      <c r="U57" s="37" t="n"/>
      <c r="V57" s="38" t="n"/>
      <c r="W57" s="38" t="n"/>
      <c r="X57" s="38" t="n"/>
      <c r="Y57" s="39" t="n"/>
      <c r="Z57" s="11">
        <f>IF(A57&gt;TODAY(),"Upcoming",IF(Y57&lt;&gt;"","✓ Updated",IF(A57+6&gt;=TODAY(),"Due Friday","⚠ Missing")))</f>
        <v/>
      </c>
    </row>
    <row r="58">
      <c r="A58" s="35" t="n">
        <v>46594</v>
      </c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7" t="n"/>
      <c r="T58" s="37" t="n"/>
      <c r="U58" s="37" t="n"/>
      <c r="V58" s="38" t="n"/>
      <c r="W58" s="38" t="n"/>
      <c r="X58" s="38" t="n"/>
      <c r="Y58" s="39" t="n"/>
      <c r="Z58" s="11">
        <f>IF(A58&gt;TODAY(),"Upcoming",IF(Y58&lt;&gt;"","✓ Updated",IF(A58+6&gt;=TODAY(),"Due Friday","⚠ Missing")))</f>
        <v/>
      </c>
    </row>
    <row r="59">
      <c r="A59" s="35" t="n">
        <v>46601</v>
      </c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7" t="n"/>
      <c r="T59" s="37" t="n"/>
      <c r="U59" s="37" t="n"/>
      <c r="V59" s="38" t="n"/>
      <c r="W59" s="38" t="n"/>
      <c r="X59" s="38" t="n"/>
      <c r="Y59" s="39" t="n"/>
      <c r="Z59" s="11">
        <f>IF(A59&gt;TODAY(),"Upcoming",IF(Y59&lt;&gt;"","✓ Updated",IF(A59+6&gt;=TODAY(),"Due Friday","⚠ Missing")))</f>
        <v/>
      </c>
    </row>
    <row r="60">
      <c r="A60" s="35" t="n">
        <v>46608</v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7" t="n"/>
      <c r="T60" s="37" t="n"/>
      <c r="U60" s="37" t="n"/>
      <c r="V60" s="38" t="n"/>
      <c r="W60" s="38" t="n"/>
      <c r="X60" s="38" t="n"/>
      <c r="Y60" s="39" t="n"/>
      <c r="Z60" s="11">
        <f>IF(A60&gt;TODAY(),"Upcoming",IF(Y60&lt;&gt;"","✓ Updated",IF(A60+6&gt;=TODAY(),"Due Friday","⚠ Missing")))</f>
        <v/>
      </c>
    </row>
    <row r="61">
      <c r="A61" s="35" t="n">
        <v>46615</v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7" t="n"/>
      <c r="T61" s="37" t="n"/>
      <c r="U61" s="37" t="n"/>
      <c r="V61" s="38" t="n"/>
      <c r="W61" s="38" t="n"/>
      <c r="X61" s="38" t="n"/>
      <c r="Y61" s="39" t="n"/>
      <c r="Z61" s="11">
        <f>IF(A61&gt;TODAY(),"Upcoming",IF(Y61&lt;&gt;"","✓ Updated",IF(A61+6&gt;=TODAY(),"Due Friday","⚠ Missing")))</f>
        <v/>
      </c>
    </row>
    <row r="62">
      <c r="A62" s="35" t="n">
        <v>46622</v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7" t="n"/>
      <c r="T62" s="37" t="n"/>
      <c r="U62" s="37" t="n"/>
      <c r="V62" s="38" t="n"/>
      <c r="W62" s="38" t="n"/>
      <c r="X62" s="38" t="n"/>
      <c r="Y62" s="39" t="n"/>
      <c r="Z62" s="11">
        <f>IF(A62&gt;TODAY(),"Upcoming",IF(Y62&lt;&gt;"","✓ Updated",IF(A62+6&gt;=TODAY(),"Due Friday","⚠ Missing")))</f>
        <v/>
      </c>
    </row>
    <row r="63">
      <c r="A63" s="35" t="n">
        <v>46629</v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7" t="n"/>
      <c r="T63" s="37" t="n"/>
      <c r="U63" s="37" t="n"/>
      <c r="V63" s="38" t="n"/>
      <c r="W63" s="38" t="n"/>
      <c r="X63" s="38" t="n"/>
      <c r="Y63" s="39" t="n"/>
      <c r="Z63" s="11">
        <f>IF(A63&gt;TODAY(),"Upcoming",IF(Y63&lt;&gt;"","✓ Updated",IF(A63+6&gt;=TODAY(),"Due Friday","⚠ Missing")))</f>
        <v/>
      </c>
    </row>
    <row r="64">
      <c r="A64" s="35" t="n">
        <v>46636</v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7" t="n"/>
      <c r="T64" s="37" t="n"/>
      <c r="U64" s="37" t="n"/>
      <c r="V64" s="38" t="n"/>
      <c r="W64" s="38" t="n"/>
      <c r="X64" s="38" t="n"/>
      <c r="Y64" s="39" t="n"/>
      <c r="Z64" s="11">
        <f>IF(A64&gt;TODAY(),"Upcoming",IF(Y64&lt;&gt;"","✓ Updated",IF(A64+6&gt;=TODAY(),"Due Friday","⚠ Missing")))</f>
        <v/>
      </c>
    </row>
    <row r="65">
      <c r="A65" s="35" t="n">
        <v>46643</v>
      </c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7" t="n"/>
      <c r="T65" s="37" t="n"/>
      <c r="U65" s="37" t="n"/>
      <c r="V65" s="38" t="n"/>
      <c r="W65" s="38" t="n"/>
      <c r="X65" s="38" t="n"/>
      <c r="Y65" s="39" t="n"/>
      <c r="Z65" s="11">
        <f>IF(A65&gt;TODAY(),"Upcoming",IF(Y65&lt;&gt;"","✓ Updated",IF(A65+6&gt;=TODAY(),"Due Friday","⚠ Missing")))</f>
        <v/>
      </c>
    </row>
    <row r="66">
      <c r="A66" s="35" t="n">
        <v>46650</v>
      </c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7" t="n"/>
      <c r="T66" s="37" t="n"/>
      <c r="U66" s="37" t="n"/>
      <c r="V66" s="38" t="n"/>
      <c r="W66" s="38" t="n"/>
      <c r="X66" s="38" t="n"/>
      <c r="Y66" s="39" t="n"/>
      <c r="Z66" s="11">
        <f>IF(A66&gt;TODAY(),"Upcoming",IF(Y66&lt;&gt;"","✓ Updated",IF(A66+6&gt;=TODAY(),"Due Friday","⚠ Missing")))</f>
        <v/>
      </c>
    </row>
    <row r="67">
      <c r="A67" s="35" t="n">
        <v>46657</v>
      </c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7" t="n"/>
      <c r="T67" s="37" t="n"/>
      <c r="U67" s="37" t="n"/>
      <c r="V67" s="38" t="n"/>
      <c r="W67" s="38" t="n"/>
      <c r="X67" s="38" t="n"/>
      <c r="Y67" s="39" t="n"/>
      <c r="Z67" s="11">
        <f>IF(A67&gt;TODAY(),"Upcoming",IF(Y67&lt;&gt;"","✓ Updated",IF(A67+6&gt;=TODAY(),"Due Friday","⚠ Missing")))</f>
        <v/>
      </c>
    </row>
    <row r="68">
      <c r="A68" s="35" t="n">
        <v>46664</v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7" t="n"/>
      <c r="T68" s="37" t="n"/>
      <c r="U68" s="37" t="n"/>
      <c r="V68" s="38" t="n"/>
      <c r="W68" s="38" t="n"/>
      <c r="X68" s="38" t="n"/>
      <c r="Y68" s="39" t="n"/>
      <c r="Z68" s="11">
        <f>IF(A68&gt;TODAY(),"Upcoming",IF(Y68&lt;&gt;"","✓ Updated",IF(A68+6&gt;=TODAY(),"Due Friday","⚠ Missing")))</f>
        <v/>
      </c>
    </row>
    <row r="69">
      <c r="A69" s="35" t="n">
        <v>46671</v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7" t="n"/>
      <c r="T69" s="37" t="n"/>
      <c r="U69" s="37" t="n"/>
      <c r="V69" s="38" t="n"/>
      <c r="W69" s="38" t="n"/>
      <c r="X69" s="38" t="n"/>
      <c r="Y69" s="39" t="n"/>
      <c r="Z69" s="11">
        <f>IF(A69&gt;TODAY(),"Upcoming",IF(Y69&lt;&gt;"","✓ Updated",IF(A69+6&gt;=TODAY(),"Due Friday","⚠ Missing")))</f>
        <v/>
      </c>
    </row>
    <row r="70">
      <c r="A70" s="35" t="n">
        <v>46678</v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7" t="n"/>
      <c r="T70" s="37" t="n"/>
      <c r="U70" s="37" t="n"/>
      <c r="V70" s="38" t="n"/>
      <c r="W70" s="38" t="n"/>
      <c r="X70" s="38" t="n"/>
      <c r="Y70" s="39" t="n"/>
      <c r="Z70" s="11">
        <f>IF(A70&gt;TODAY(),"Upcoming",IF(Y70&lt;&gt;"","✓ Updated",IF(A70+6&gt;=TODAY(),"Due Friday","⚠ Missing")))</f>
        <v/>
      </c>
    </row>
    <row r="71">
      <c r="A71" s="35" t="n">
        <v>46685</v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7" t="n"/>
      <c r="T71" s="37" t="n"/>
      <c r="U71" s="37" t="n"/>
      <c r="V71" s="38" t="n"/>
      <c r="W71" s="38" t="n"/>
      <c r="X71" s="38" t="n"/>
      <c r="Y71" s="39" t="n"/>
      <c r="Z71" s="11">
        <f>IF(A71&gt;TODAY(),"Upcoming",IF(Y71&lt;&gt;"","✓ Updated",IF(A71+6&gt;=TODAY(),"Due Friday","⚠ Missing")))</f>
        <v/>
      </c>
    </row>
    <row r="72">
      <c r="A72" s="35" t="n">
        <v>46692</v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7" t="n"/>
      <c r="T72" s="37" t="n"/>
      <c r="U72" s="37" t="n"/>
      <c r="V72" s="38" t="n"/>
      <c r="W72" s="38" t="n"/>
      <c r="X72" s="38" t="n"/>
      <c r="Y72" s="39" t="n"/>
      <c r="Z72" s="11">
        <f>IF(A72&gt;TODAY(),"Upcoming",IF(Y72&lt;&gt;"","✓ Updated",IF(A72+6&gt;=TODAY(),"Due Friday","⚠ Missing")))</f>
        <v/>
      </c>
    </row>
    <row r="73">
      <c r="A73" s="35" t="n">
        <v>46699</v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7" t="n"/>
      <c r="T73" s="37" t="n"/>
      <c r="U73" s="37" t="n"/>
      <c r="V73" s="38" t="n"/>
      <c r="W73" s="38" t="n"/>
      <c r="X73" s="38" t="n"/>
      <c r="Y73" s="39" t="n"/>
      <c r="Z73" s="11">
        <f>IF(A73&gt;TODAY(),"Upcoming",IF(Y73&lt;&gt;"","✓ Updated",IF(A73+6&gt;=TODAY(),"Due Friday","⚠ Missing")))</f>
        <v/>
      </c>
    </row>
    <row r="74">
      <c r="A74" s="35" t="n">
        <v>46706</v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7" t="n"/>
      <c r="T74" s="37" t="n"/>
      <c r="U74" s="37" t="n"/>
      <c r="V74" s="38" t="n"/>
      <c r="W74" s="38" t="n"/>
      <c r="X74" s="38" t="n"/>
      <c r="Y74" s="39" t="n"/>
      <c r="Z74" s="11">
        <f>IF(A74&gt;TODAY(),"Upcoming",IF(Y74&lt;&gt;"","✓ Updated",IF(A74+6&gt;=TODAY(),"Due Friday","⚠ Missing")))</f>
        <v/>
      </c>
    </row>
    <row r="75">
      <c r="A75" s="35" t="n">
        <v>46713</v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7" t="n"/>
      <c r="T75" s="37" t="n"/>
      <c r="U75" s="37" t="n"/>
      <c r="V75" s="38" t="n"/>
      <c r="W75" s="38" t="n"/>
      <c r="X75" s="38" t="n"/>
      <c r="Y75" s="39" t="n"/>
      <c r="Z75" s="11">
        <f>IF(A75&gt;TODAY(),"Upcoming",IF(Y75&lt;&gt;"","✓ Updated",IF(A75+6&gt;=TODAY(),"Due Friday","⚠ Missing")))</f>
        <v/>
      </c>
    </row>
    <row r="76">
      <c r="A76" s="35" t="n">
        <v>46720</v>
      </c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7" t="n"/>
      <c r="T76" s="37" t="n"/>
      <c r="U76" s="37" t="n"/>
      <c r="V76" s="38" t="n"/>
      <c r="W76" s="38" t="n"/>
      <c r="X76" s="38" t="n"/>
      <c r="Y76" s="39" t="n"/>
      <c r="Z76" s="11">
        <f>IF(A76&gt;TODAY(),"Upcoming",IF(Y76&lt;&gt;"","✓ Updated",IF(A76+6&gt;=TODAY(),"Due Friday","⚠ Missing")))</f>
        <v/>
      </c>
    </row>
    <row r="77">
      <c r="A77" s="35" t="n">
        <v>46727</v>
      </c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7" t="n"/>
      <c r="T77" s="37" t="n"/>
      <c r="U77" s="37" t="n"/>
      <c r="V77" s="38" t="n"/>
      <c r="W77" s="38" t="n"/>
      <c r="X77" s="38" t="n"/>
      <c r="Y77" s="39" t="n"/>
      <c r="Z77" s="11">
        <f>IF(A77&gt;TODAY(),"Upcoming",IF(Y77&lt;&gt;"","✓ Updated",IF(A77+6&gt;=TODAY(),"Due Friday","⚠ Missing")))</f>
        <v/>
      </c>
    </row>
    <row r="78">
      <c r="A78" s="35" t="n">
        <v>46734</v>
      </c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7" t="n"/>
      <c r="T78" s="37" t="n"/>
      <c r="U78" s="37" t="n"/>
      <c r="V78" s="38" t="n"/>
      <c r="W78" s="38" t="n"/>
      <c r="X78" s="38" t="n"/>
      <c r="Y78" s="39" t="n"/>
      <c r="Z78" s="11">
        <f>IF(A78&gt;TODAY(),"Upcoming",IF(Y78&lt;&gt;"","✓ Updated",IF(A78+6&gt;=TODAY(),"Due Friday","⚠ Missing")))</f>
        <v/>
      </c>
    </row>
    <row r="79">
      <c r="A79" s="35" t="n">
        <v>46741</v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7" t="n"/>
      <c r="T79" s="37" t="n"/>
      <c r="U79" s="37" t="n"/>
      <c r="V79" s="38" t="n"/>
      <c r="W79" s="38" t="n"/>
      <c r="X79" s="38" t="n"/>
      <c r="Y79" s="39" t="n"/>
      <c r="Z79" s="11">
        <f>IF(A79&gt;TODAY(),"Upcoming",IF(Y79&lt;&gt;"","✓ Updated",IF(A79+6&gt;=TODAY(),"Due Friday","⚠ Missing")))</f>
        <v/>
      </c>
    </row>
    <row r="80">
      <c r="A80" s="35" t="n">
        <v>46748</v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7" t="n"/>
      <c r="T80" s="37" t="n"/>
      <c r="U80" s="37" t="n"/>
      <c r="V80" s="38" t="n"/>
      <c r="W80" s="38" t="n"/>
      <c r="X80" s="38" t="n"/>
      <c r="Y80" s="39" t="n"/>
      <c r="Z80" s="11">
        <f>IF(A80&gt;TODAY(),"Upcoming",IF(Y80&lt;&gt;"","✓ Updated",IF(A80+6&gt;=TODAY(),"Due Friday","⚠ Missing")))</f>
        <v/>
      </c>
    </row>
  </sheetData>
  <mergeCells count="18">
    <mergeCell ref="H6:J6"/>
    <mergeCell ref="H10:J10"/>
    <mergeCell ref="A7:B7"/>
    <mergeCell ref="A1:Z1"/>
    <mergeCell ref="A11:B11"/>
    <mergeCell ref="H5:J5"/>
    <mergeCell ref="A10:B10"/>
    <mergeCell ref="A5:B5"/>
    <mergeCell ref="H8:J8"/>
    <mergeCell ref="H9:J9"/>
    <mergeCell ref="A4:F4"/>
    <mergeCell ref="A2:Z2"/>
    <mergeCell ref="A9:B9"/>
    <mergeCell ref="A8:B8"/>
    <mergeCell ref="H11:J11"/>
    <mergeCell ref="A6:B6"/>
    <mergeCell ref="H7:J7"/>
    <mergeCell ref="A12:B12"/>
  </mergeCells>
  <conditionalFormatting sqref="F6:F12">
    <cfRule type="cellIs" priority="1" operator="equal" dxfId="3">
      <formula>"On pace"</formula>
    </cfRule>
    <cfRule type="cellIs" priority="2" operator="equal" dxfId="4">
      <formula>"Behind"</formula>
    </cfRule>
  </conditionalFormatting>
  <conditionalFormatting sqref="Z15:Z80">
    <cfRule type="cellIs" priority="3" operator="equal" dxfId="0">
      <formula>"⚠ Missing"</formula>
    </cfRule>
    <cfRule type="cellIs" priority="4" operator="equal" dxfId="1">
      <formula>"✓ Updated"</formula>
    </cfRule>
    <cfRule type="cellIs" priority="5" operator="equal" dxfId="5">
      <formula>"Due Friday"</formula>
    </cfRule>
  </conditionalFormatting>
  <conditionalFormatting sqref="A15:X80">
    <cfRule type="expression" priority="6" dxfId="6">
      <formula>AND($A15&lt;=TODAY(),$A15+6&gt;=TODAY())</formula>
    </cfRule>
  </conditionalFormatting>
  <dataValidations count="1">
    <dataValidation sqref="B15:U80" showDropDown="0" showInputMessage="0" showErrorMessage="1" allowBlank="1" errorTitle="Numbers only" error="Please enter a number (0 or more)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27"/>
    <outlinePr summaryBelow="1" summaryRight="1"/>
    <pageSetUpPr/>
  </sheetPr>
  <dimension ref="A1:F3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22" customWidth="1" min="3" max="3"/>
    <col width="22" customWidth="1" min="4" max="4"/>
    <col width="22" customWidth="1" min="5" max="5"/>
    <col hidden="1" width="13" customWidth="1" min="6" max="6"/>
  </cols>
  <sheetData>
    <row r="1" ht="34" customHeight="1">
      <c r="A1" s="1">
        <f>IF('Settings'!B15="","Agent 2",'Settings'!B15)&amp;" — Business Development &amp; Growth Assessment"</f>
        <v/>
      </c>
    </row>
    <row r="2" ht="44" customHeight="1">
      <c r="A2" s="5" t="inlineStr">
        <is>
          <t>THE PRAEDIUM GROUP  •  This assessment helps us understand where you are today, where your time is going, and what training, structure, or support could help you grow. There are no “right” answers — answer based on what your business actually looks like today. Estimates are completely acceptable. Yellow cells are yours to fill in.</t>
        </is>
      </c>
    </row>
    <row r="3">
      <c r="B3" s="40" t="inlineStr">
        <is>
          <t>Completion:</t>
        </is>
      </c>
      <c r="C3" s="41">
        <f>IFERROR(SUMPRODUCT((F5:F400=1)*(C5:C400&lt;&gt;""))/SUM(F5:F400),0)</f>
        <v/>
      </c>
    </row>
    <row r="5" ht="24" customHeight="1">
      <c r="A5" s="42" t="inlineStr">
        <is>
          <t>1. ABOUT YOUR BUSINESS TODAY</t>
        </is>
      </c>
    </row>
    <row r="6">
      <c r="B6" s="43" t="inlineStr">
        <is>
          <t>Market Center / KW Office</t>
        </is>
      </c>
      <c r="C6" s="44" t="n"/>
      <c r="D6" s="28" t="n"/>
      <c r="E6" s="28" t="n"/>
      <c r="F6" t="n">
        <v>1</v>
      </c>
    </row>
    <row r="7">
      <c r="B7" s="43" t="inlineStr">
        <is>
          <t>How long have you been licensed in real estate?</t>
        </is>
      </c>
      <c r="C7" s="44" t="n"/>
      <c r="D7" s="28" t="n"/>
      <c r="E7" s="28" t="n"/>
      <c r="F7" t="n">
        <v>1</v>
      </c>
    </row>
    <row r="8">
      <c r="B8" s="43" t="inlineStr">
        <is>
          <t>How long have you actively worked in commercial real estate?</t>
        </is>
      </c>
      <c r="C8" s="44" t="n"/>
      <c r="D8" s="28" t="n"/>
      <c r="E8" s="28" t="n"/>
      <c r="F8" t="n">
        <v>1</v>
      </c>
    </row>
    <row r="9">
      <c r="B9" s="43" t="inlineStr">
        <is>
          <t>How would you describe your current real estate business?</t>
        </is>
      </c>
      <c r="C9" s="44" t="n"/>
      <c r="D9" s="28" t="n"/>
      <c r="E9" s="28" t="n"/>
      <c r="F9" t="n">
        <v>1</v>
      </c>
    </row>
    <row r="10" ht="48" customHeight="1">
      <c r="B10" s="43" t="inlineStr">
        <is>
          <t>If you selected Other, please explain:</t>
        </is>
      </c>
      <c r="C10" s="44" t="n"/>
      <c r="D10" s="28" t="n"/>
      <c r="E10" s="28" t="n"/>
      <c r="F10" t="n">
        <v>1</v>
      </c>
    </row>
    <row r="11">
      <c r="B11" s="43" t="inlineStr">
        <is>
          <t>Is real estate currently your primary occupation?</t>
        </is>
      </c>
      <c r="C11" s="44" t="n"/>
      <c r="D11" s="28" t="n"/>
      <c r="E11" s="28" t="n"/>
      <c r="F11" t="n">
        <v>1</v>
      </c>
    </row>
    <row r="12" ht="48" customHeight="1">
      <c r="B12" s="43" t="inlineStr">
        <is>
          <t>If not, what other work or major commitments currently compete for your time?</t>
        </is>
      </c>
      <c r="C12" s="44" t="n"/>
      <c r="D12" s="28" t="n"/>
      <c r="E12" s="28" t="n"/>
      <c r="F12" t="n">
        <v>1</v>
      </c>
    </row>
    <row r="14" ht="24" customHeight="1">
      <c r="A14" s="42" t="inlineStr">
        <is>
          <t>2. YOUR CURRENT WORK WEEK</t>
        </is>
      </c>
    </row>
    <row r="15" ht="28" customHeight="1">
      <c r="A15" s="45" t="inlineStr">
        <is>
          <t>We want to understand what your schedule actually looks like today.</t>
        </is>
      </c>
    </row>
    <row r="16">
      <c r="B16" s="43" t="inlineStr">
        <is>
          <t>On average, how many days per week do you currently spend working on real estate?</t>
        </is>
      </c>
      <c r="C16" s="44" t="n"/>
      <c r="D16" s="28" t="n"/>
      <c r="E16" s="28" t="n"/>
      <c r="F16" t="n">
        <v>1</v>
      </c>
    </row>
    <row r="17">
      <c r="B17" s="43" t="inlineStr">
        <is>
          <t>How many hours do you work on real estate during a typical day?</t>
        </is>
      </c>
      <c r="C17" s="44" t="n"/>
      <c r="D17" s="28" t="n"/>
      <c r="E17" s="28" t="n"/>
      <c r="F17" t="n">
        <v>1</v>
      </c>
    </row>
    <row r="18">
      <c r="B18" s="43" t="inlineStr">
        <is>
          <t>What time do you normally begin your workday?</t>
        </is>
      </c>
      <c r="C18" s="44" t="n"/>
      <c r="D18" s="28" t="n"/>
      <c r="E18" s="28" t="n"/>
      <c r="F18" t="n">
        <v>1</v>
      </c>
    </row>
    <row r="19">
      <c r="B19" s="43" t="inlineStr">
        <is>
          <t>What time do you normally finish your workday?</t>
        </is>
      </c>
      <c r="C19" s="44" t="n"/>
      <c r="D19" s="28" t="n"/>
      <c r="E19" s="28" t="n"/>
      <c r="F19" t="n">
        <v>1</v>
      </c>
    </row>
    <row r="20">
      <c r="B20" s="43" t="inlineStr">
        <is>
          <t>Is your schedule generally consistent from day to day?</t>
        </is>
      </c>
      <c r="C20" s="44" t="n"/>
      <c r="D20" s="28" t="n"/>
      <c r="E20" s="28" t="n"/>
      <c r="F20" t="n">
        <v>1</v>
      </c>
    </row>
    <row r="22">
      <c r="B22" s="46" t="inlineStr">
        <is>
          <t>Day</t>
        </is>
      </c>
      <c r="C22" s="46" t="inlineStr">
        <is>
          <t>Usually Work?</t>
        </is>
      </c>
      <c r="D22" s="46" t="inlineStr">
        <is>
          <t>Approx. Hours</t>
        </is>
      </c>
    </row>
    <row r="23">
      <c r="B23" s="47" t="inlineStr">
        <is>
          <t>Monday</t>
        </is>
      </c>
      <c r="C23" s="36" t="n"/>
      <c r="D23" s="36" t="n"/>
      <c r="F23" t="n">
        <v>1</v>
      </c>
    </row>
    <row r="24">
      <c r="B24" s="47" t="inlineStr">
        <is>
          <t>Tuesday</t>
        </is>
      </c>
      <c r="C24" s="36" t="n"/>
      <c r="D24" s="36" t="n"/>
      <c r="F24" t="n">
        <v>1</v>
      </c>
    </row>
    <row r="25">
      <c r="B25" s="47" t="inlineStr">
        <is>
          <t>Wednesday</t>
        </is>
      </c>
      <c r="C25" s="36" t="n"/>
      <c r="D25" s="36" t="n"/>
      <c r="F25" t="n">
        <v>1</v>
      </c>
    </row>
    <row r="26">
      <c r="B26" s="47" t="inlineStr">
        <is>
          <t>Thursday</t>
        </is>
      </c>
      <c r="C26" s="36" t="n"/>
      <c r="D26" s="36" t="n"/>
      <c r="F26" t="n">
        <v>1</v>
      </c>
    </row>
    <row r="27">
      <c r="B27" s="47" t="inlineStr">
        <is>
          <t>Friday</t>
        </is>
      </c>
      <c r="C27" s="36" t="n"/>
      <c r="D27" s="36" t="n"/>
      <c r="F27" t="n">
        <v>1</v>
      </c>
    </row>
    <row r="28">
      <c r="B28" s="47" t="inlineStr">
        <is>
          <t>Saturday</t>
        </is>
      </c>
      <c r="C28" s="36" t="n"/>
      <c r="D28" s="36" t="n"/>
      <c r="F28" t="n">
        <v>1</v>
      </c>
    </row>
    <row r="29">
      <c r="B29" s="47" t="inlineStr">
        <is>
          <t>Sunday</t>
        </is>
      </c>
      <c r="C29" s="36" t="n"/>
      <c r="D29" s="36" t="n"/>
      <c r="F29" t="n">
        <v>1</v>
      </c>
    </row>
    <row r="31">
      <c r="B31" s="48" t="inlineStr">
        <is>
          <t>How is your typical real estate week divided?</t>
        </is>
      </c>
    </row>
    <row r="32">
      <c r="B32" s="46" t="inlineStr">
        <is>
          <t>Area</t>
        </is>
      </c>
      <c r="C32" s="46" t="inlineStr">
        <is>
          <t>Hours / Week</t>
        </is>
      </c>
    </row>
    <row r="33">
      <c r="B33" s="47" t="inlineStr">
        <is>
          <t>Commercial Real Estate</t>
        </is>
      </c>
      <c r="C33" s="36" t="n"/>
      <c r="F33" t="n">
        <v>1</v>
      </c>
    </row>
    <row r="34">
      <c r="B34" s="47" t="inlineStr">
        <is>
          <t>Residential Real Estate</t>
        </is>
      </c>
      <c r="C34" s="36" t="n"/>
      <c r="F34" t="n">
        <v>1</v>
      </c>
    </row>
    <row r="35">
      <c r="B35" s="47" t="inlineStr">
        <is>
          <t>Administrative / Business Operations</t>
        </is>
      </c>
      <c r="C35" s="36" t="n"/>
      <c r="F35" t="n">
        <v>1</v>
      </c>
    </row>
    <row r="36">
      <c r="B36" s="47" t="inlineStr">
        <is>
          <t>Other</t>
        </is>
      </c>
      <c r="C36" s="36" t="n"/>
      <c r="F36" t="n">
        <v>1</v>
      </c>
    </row>
    <row r="37">
      <c r="B37" s="49" t="inlineStr">
        <is>
          <t>TOTAL</t>
        </is>
      </c>
      <c r="C37" s="50">
        <f>SUM(C33:C36)</f>
        <v/>
      </c>
    </row>
    <row r="38" ht="48" customHeight="1">
      <c r="B38" s="43" t="inlineStr">
        <is>
          <t>If Other, what does that time consist of?</t>
        </is>
      </c>
      <c r="C38" s="44" t="n"/>
      <c r="D38" s="28" t="n"/>
      <c r="E38" s="28" t="n"/>
      <c r="F38" t="n">
        <v>1</v>
      </c>
    </row>
    <row r="40" ht="24" customHeight="1">
      <c r="A40" s="42" t="inlineStr">
        <is>
          <t>3. WHERE DOES YOUR TIME ACTUALLY GO?</t>
        </is>
      </c>
    </row>
    <row r="41" ht="28" customHeight="1">
      <c r="A41" s="45" t="inlineStr">
        <is>
          <t>You do not need to track every minute. Think about a typical week and make your best estimate. Use this guide if you are unsure how to categorize something.</t>
        </is>
      </c>
    </row>
    <row r="42">
      <c r="B42" s="51" t="inlineStr">
        <is>
          <t>Category</t>
        </is>
      </c>
      <c r="C42" s="51" t="inlineStr">
        <is>
          <t>Examples</t>
        </is>
      </c>
    </row>
    <row r="43" ht="26" customHeight="1">
      <c r="B43" s="3" t="inlineStr">
        <is>
          <t>Prospecting / Business Development</t>
        </is>
      </c>
      <c r="C43" s="52" t="inlineStr">
        <is>
          <t>Cold calling, owner outreach, tenant outreach, email campaigns, canvassing, prospect research</t>
        </is>
      </c>
    </row>
    <row r="44" ht="26" customHeight="1">
      <c r="B44" s="3" t="inlineStr">
        <is>
          <t>Client / Deal Work</t>
        </is>
      </c>
      <c r="C44" s="52" t="inlineStr">
        <is>
          <t>Tours, client meetings, LOIs, contracts, negotiations, due diligence, inspections, closing coordination</t>
        </is>
      </c>
    </row>
    <row r="45" ht="26" customHeight="1">
      <c r="B45" s="3" t="inlineStr">
        <is>
          <t>Market Research</t>
        </is>
      </c>
      <c r="C45" s="52" t="inlineStr">
        <is>
          <t>Crexi, CoStar, GIS, Land id, researching ownership, comps, zoning, demographics</t>
        </is>
      </c>
    </row>
    <row r="46" ht="26" customHeight="1">
      <c r="B46" s="3" t="inlineStr">
        <is>
          <t>Follow-Up / CRM</t>
        </is>
      </c>
      <c r="C46" s="52" t="inlineStr">
        <is>
          <t>Returning calls, email follow-up, CRM updates, maintaining prospect lists</t>
        </is>
      </c>
    </row>
    <row r="47" ht="26" customHeight="1">
      <c r="B47" s="3" t="inlineStr">
        <is>
          <t>Networking / Sphere</t>
        </is>
      </c>
      <c r="C47" s="52" t="inlineStr">
        <is>
          <t>KW agents, attorneys, lenders, CPAs, developers, business owners, networking events</t>
        </is>
      </c>
    </row>
    <row r="48" ht="26" customHeight="1">
      <c r="B48" s="3" t="inlineStr">
        <is>
          <t>Marketing</t>
        </is>
      </c>
      <c r="C48" s="52" t="inlineStr">
        <is>
          <t>Social media, property marketing, flyers, listing materials, content creation</t>
        </is>
      </c>
    </row>
    <row r="49" ht="26" customHeight="1">
      <c r="B49" s="3" t="inlineStr">
        <is>
          <t>Residential</t>
        </is>
      </c>
      <c r="C49" s="52" t="inlineStr">
        <is>
          <t>Residential prospecting, showings, listings, buyers, contracts, closings</t>
        </is>
      </c>
    </row>
    <row r="50" ht="26" customHeight="1">
      <c r="B50" s="3" t="inlineStr">
        <is>
          <t>Administrative</t>
        </is>
      </c>
      <c r="C50" s="52" t="inlineStr">
        <is>
          <t>Paperwork, scheduling, expense tracking, file organization, general admin</t>
        </is>
      </c>
    </row>
    <row r="51" ht="26" customHeight="1">
      <c r="B51" s="3" t="inlineStr">
        <is>
          <t>Training / Development</t>
        </is>
      </c>
      <c r="C51" s="52" t="inlineStr">
        <is>
          <t>Courses, meetings, CRE training, technology training, role-playing</t>
        </is>
      </c>
    </row>
    <row r="52" ht="26" customHeight="1">
      <c r="B52" s="3" t="inlineStr">
        <is>
          <t>Other</t>
        </is>
      </c>
      <c r="C52" s="52" t="inlineStr">
        <is>
          <t>Anything that does not reasonably fit above</t>
        </is>
      </c>
    </row>
    <row r="54">
      <c r="B54" s="46" t="inlineStr">
        <is>
          <t>Activity</t>
        </is>
      </c>
      <c r="C54" s="46" t="inlineStr">
        <is>
          <t>Approx. Hours / Week</t>
        </is>
      </c>
      <c r="D54" s="46" t="inlineStr">
        <is>
          <t>% of Real Estate Time</t>
        </is>
      </c>
    </row>
    <row r="55">
      <c r="B55" s="47" t="inlineStr">
        <is>
          <t>Commercial Prospecting / Business Development</t>
        </is>
      </c>
      <c r="C55" s="36" t="n"/>
      <c r="D55" s="53">
        <f>IFERROR(C55/SUM(C$55:C$64),"")</f>
        <v/>
      </c>
      <c r="F55" t="n">
        <v>1</v>
      </c>
    </row>
    <row r="56">
      <c r="B56" s="47" t="inlineStr">
        <is>
          <t>Commercial Client &amp; Deal Work</t>
        </is>
      </c>
      <c r="C56" s="36" t="n"/>
      <c r="D56" s="53">
        <f>IFERROR(C56/SUM(C$55:C$64),"")</f>
        <v/>
      </c>
      <c r="F56" t="n">
        <v>1</v>
      </c>
    </row>
    <row r="57">
      <c r="B57" s="47" t="inlineStr">
        <is>
          <t>Commercial Market Research</t>
        </is>
      </c>
      <c r="C57" s="36" t="n"/>
      <c r="D57" s="53">
        <f>IFERROR(C57/SUM(C$55:C$64),"")</f>
        <v/>
      </c>
      <c r="F57" t="n">
        <v>1</v>
      </c>
    </row>
    <row r="58">
      <c r="B58" s="47" t="inlineStr">
        <is>
          <t>Follow-Up / CRM</t>
        </is>
      </c>
      <c r="C58" s="36" t="n"/>
      <c r="D58" s="53">
        <f>IFERROR(C58/SUM(C$55:C$64),"")</f>
        <v/>
      </c>
      <c r="F58" t="n">
        <v>1</v>
      </c>
    </row>
    <row r="59">
      <c r="B59" s="47" t="inlineStr">
        <is>
          <t>Networking / Sphere Development</t>
        </is>
      </c>
      <c r="C59" s="36" t="n"/>
      <c r="D59" s="53">
        <f>IFERROR(C59/SUM(C$55:C$64),"")</f>
        <v/>
      </c>
      <c r="F59" t="n">
        <v>1</v>
      </c>
    </row>
    <row r="60">
      <c r="B60" s="47" t="inlineStr">
        <is>
          <t>Marketing / Content</t>
        </is>
      </c>
      <c r="C60" s="36" t="n"/>
      <c r="D60" s="53">
        <f>IFERROR(C60/SUM(C$55:C$64),"")</f>
        <v/>
      </c>
      <c r="F60" t="n">
        <v>1</v>
      </c>
    </row>
    <row r="61">
      <c r="B61" s="47" t="inlineStr">
        <is>
          <t>Residential Business</t>
        </is>
      </c>
      <c r="C61" s="36" t="n"/>
      <c r="D61" s="53">
        <f>IFERROR(C61/SUM(C$55:C$64),"")</f>
        <v/>
      </c>
      <c r="F61" t="n">
        <v>1</v>
      </c>
    </row>
    <row r="62">
      <c r="B62" s="47" t="inlineStr">
        <is>
          <t>Administrative Work</t>
        </is>
      </c>
      <c r="C62" s="36" t="n"/>
      <c r="D62" s="53">
        <f>IFERROR(C62/SUM(C$55:C$64),"")</f>
        <v/>
      </c>
      <c r="F62" t="n">
        <v>1</v>
      </c>
    </row>
    <row r="63">
      <c r="B63" s="47" t="inlineStr">
        <is>
          <t>Training / Professional Development</t>
        </is>
      </c>
      <c r="C63" s="36" t="n"/>
      <c r="D63" s="53">
        <f>IFERROR(C63/SUM(C$55:C$64),"")</f>
        <v/>
      </c>
      <c r="F63" t="n">
        <v>1</v>
      </c>
    </row>
    <row r="64">
      <c r="B64" s="47" t="inlineStr">
        <is>
          <t>Other</t>
        </is>
      </c>
      <c r="C64" s="36" t="n"/>
      <c r="D64" s="53">
        <f>IFERROR(C64/SUM(C$55:C$64),"")</f>
        <v/>
      </c>
      <c r="F64" t="n">
        <v>1</v>
      </c>
    </row>
    <row r="65">
      <c r="B65" s="49" t="inlineStr">
        <is>
          <t>TOTAL</t>
        </is>
      </c>
      <c r="C65" s="50">
        <f>SUM(C55:C64)</f>
        <v/>
      </c>
      <c r="D65" s="54">
        <f>IFERROR(SUM(D55:D64),"")</f>
        <v/>
      </c>
    </row>
    <row r="66" ht="48" customHeight="1">
      <c r="B66" s="43" t="inlineStr">
        <is>
          <t>If you listed time under Other, please explain:</t>
        </is>
      </c>
      <c r="C66" s="44" t="n"/>
      <c r="D66" s="28" t="n"/>
      <c r="E66" s="28" t="n"/>
      <c r="F66" t="n">
        <v>1</v>
      </c>
    </row>
    <row r="67" ht="48" customHeight="1">
      <c r="B67" s="43" t="inlineStr">
        <is>
          <t>Which activities take up the MOST time in your week?</t>
        </is>
      </c>
      <c r="C67" s="44" t="n"/>
      <c r="D67" s="28" t="n"/>
      <c r="E67" s="28" t="n"/>
      <c r="F67" t="n">
        <v>1</v>
      </c>
    </row>
    <row r="68" ht="48" customHeight="1">
      <c r="B68" s="43" t="inlineStr">
        <is>
          <t>Which activities are currently producing the MOST business for you?</t>
        </is>
      </c>
      <c r="C68" s="44" t="n"/>
      <c r="D68" s="28" t="n"/>
      <c r="E68" s="28" t="n"/>
      <c r="F68" t="n">
        <v>1</v>
      </c>
    </row>
    <row r="69" ht="48" customHeight="1">
      <c r="B69" s="43" t="inlineStr">
        <is>
          <t>What do you feel you are spending too much time doing?</t>
        </is>
      </c>
      <c r="C69" s="44" t="n"/>
      <c r="D69" s="28" t="n"/>
      <c r="E69" s="28" t="n"/>
      <c r="F69" t="n">
        <v>1</v>
      </c>
    </row>
    <row r="70" ht="48" customHeight="1">
      <c r="B70" s="43" t="inlineStr">
        <is>
          <t>What do you feel you are not spending enough time doing?</t>
        </is>
      </c>
      <c r="C70" s="44" t="n"/>
      <c r="D70" s="28" t="n"/>
      <c r="E70" s="28" t="n"/>
      <c r="F70" t="n">
        <v>1</v>
      </c>
    </row>
    <row r="72" ht="24" customHeight="1">
      <c r="A72" s="42" t="inlineStr">
        <is>
          <t>4. HOW DO YOU STRUCTURE YOUR DAY?</t>
        </is>
      </c>
    </row>
    <row r="73">
      <c r="B73" s="43" t="inlineStr">
        <is>
          <t>Do you currently plan your workday in advance?</t>
        </is>
      </c>
      <c r="C73" s="44" t="n"/>
      <c r="D73" s="28" t="n"/>
      <c r="E73" s="28" t="n"/>
      <c r="F73" t="n">
        <v>1</v>
      </c>
    </row>
    <row r="74">
      <c r="B74" s="43" t="inlineStr">
        <is>
          <t>Do you currently use time blocks for specific activities?</t>
        </is>
      </c>
      <c r="C74" s="44" t="n"/>
      <c r="D74" s="28" t="n"/>
      <c r="E74" s="28" t="n"/>
      <c r="F74" t="n">
        <v>1</v>
      </c>
    </row>
    <row r="75">
      <c r="B75" s="43" t="inlineStr">
        <is>
          <t>Do you have a dedicated prospecting period during your day?</t>
        </is>
      </c>
      <c r="C75" s="44" t="n"/>
      <c r="D75" s="28" t="n"/>
      <c r="E75" s="28" t="n"/>
      <c r="F75" t="n">
        <v>1</v>
      </c>
    </row>
    <row r="76">
      <c r="B76" s="43" t="inlineStr">
        <is>
          <t>If yes — typical prospecting time (e.g. 9:00–11:00 AM):</t>
        </is>
      </c>
      <c r="C76" s="44" t="n"/>
      <c r="D76" s="28" t="n"/>
      <c r="E76" s="28" t="n"/>
      <c r="F76" t="n">
        <v>1</v>
      </c>
    </row>
    <row r="77">
      <c r="B77" s="43" t="inlineStr">
        <is>
          <t>If yes — typical length:</t>
        </is>
      </c>
      <c r="C77" s="44" t="n"/>
      <c r="D77" s="28" t="n"/>
      <c r="E77" s="28" t="n"/>
      <c r="F77" t="n">
        <v>1</v>
      </c>
    </row>
    <row r="78" ht="48" customHeight="1">
      <c r="B78" s="43" t="inlineStr">
        <is>
          <t>When do you feel you are most productive during the day?</t>
        </is>
      </c>
      <c r="C78" s="44" t="n"/>
      <c r="D78" s="28" t="n"/>
      <c r="E78" s="28" t="n"/>
      <c r="F78" t="n">
        <v>1</v>
      </c>
    </row>
    <row r="79" ht="48" customHeight="1">
      <c r="B79" s="43" t="inlineStr">
        <is>
          <t>What normally causes your schedule to get off track?</t>
        </is>
      </c>
      <c r="C79" s="44" t="n"/>
      <c r="D79" s="28" t="n"/>
      <c r="E79" s="28" t="n"/>
      <c r="F79" t="n">
        <v>1</v>
      </c>
    </row>
    <row r="80" ht="48" customHeight="1">
      <c r="B80" s="43" t="inlineStr">
        <is>
          <t>What is the first business-producing activity you normally do each day?</t>
        </is>
      </c>
      <c r="C80" s="44" t="n"/>
      <c r="D80" s="28" t="n"/>
      <c r="E80" s="28" t="n"/>
      <c r="F80" t="n">
        <v>1</v>
      </c>
    </row>
    <row r="81" ht="48" customHeight="1">
      <c r="B81" s="43" t="inlineStr">
        <is>
          <t>What usually consumes more time than you intended?</t>
        </is>
      </c>
      <c r="C81" s="44" t="n"/>
      <c r="D81" s="28" t="n"/>
      <c r="E81" s="28" t="n"/>
      <c r="F81" t="n">
        <v>1</v>
      </c>
    </row>
    <row r="83" ht="24" customHeight="1">
      <c r="A83" s="42" t="inlineStr">
        <is>
          <t>5. HOW ARE YOU CURRENTLY GENERATING BUSINESS?</t>
        </is>
      </c>
    </row>
    <row r="84" ht="28" customHeight="1">
      <c r="A84" s="45" t="inlineStr">
        <is>
          <t>Activity level: 0 = Not currently using · 1 = Occasionally · 3 = Consistently · 5 = Major part of my business</t>
        </is>
      </c>
    </row>
    <row r="85">
      <c r="B85" s="46" t="inlineStr">
        <is>
          <t>Business Development Source</t>
        </is>
      </c>
      <c r="C85" s="46" t="inlineStr">
        <is>
          <t>Activity Level 0–5</t>
        </is>
      </c>
      <c r="D85" s="46" t="inlineStr">
        <is>
          <t>Generated a Real Opportunity?</t>
        </is>
      </c>
    </row>
    <row r="86">
      <c r="B86" s="47" t="inlineStr">
        <is>
          <t>Cold Calling Property Owners</t>
        </is>
      </c>
      <c r="C86" s="36" t="n"/>
      <c r="D86" s="36" t="n"/>
      <c r="F86" t="n">
        <v>1</v>
      </c>
    </row>
    <row r="87">
      <c r="B87" s="47" t="inlineStr">
        <is>
          <t>Calling Businesses / Tenants</t>
        </is>
      </c>
      <c r="C87" s="36" t="n"/>
      <c r="D87" s="36" t="n"/>
      <c r="F87" t="n">
        <v>1</v>
      </c>
    </row>
    <row r="88">
      <c r="B88" s="47" t="inlineStr">
        <is>
          <t>Sphere of Influence</t>
        </is>
      </c>
      <c r="C88" s="36" t="n"/>
      <c r="D88" s="36" t="n"/>
      <c r="F88" t="n">
        <v>1</v>
      </c>
    </row>
    <row r="89">
      <c r="B89" s="47" t="inlineStr">
        <is>
          <t>Past Clients</t>
        </is>
      </c>
      <c r="C89" s="36" t="n"/>
      <c r="D89" s="36" t="n"/>
      <c r="F89" t="n">
        <v>1</v>
      </c>
    </row>
    <row r="90">
      <c r="B90" s="47" t="inlineStr">
        <is>
          <t>Current Clients</t>
        </is>
      </c>
      <c r="C90" s="36" t="n"/>
      <c r="D90" s="36" t="n"/>
      <c r="F90" t="n">
        <v>1</v>
      </c>
    </row>
    <row r="91">
      <c r="B91" s="47" t="inlineStr">
        <is>
          <t>KW Residential Agent Referrals</t>
        </is>
      </c>
      <c r="C91" s="36" t="n"/>
      <c r="D91" s="36" t="n"/>
      <c r="F91" t="n">
        <v>1</v>
      </c>
    </row>
    <row r="92">
      <c r="B92" s="47" t="inlineStr">
        <is>
          <t>KW Commercial Referrals</t>
        </is>
      </c>
      <c r="C92" s="36" t="n"/>
      <c r="D92" s="36" t="n"/>
      <c r="F92" t="n">
        <v>1</v>
      </c>
    </row>
    <row r="93">
      <c r="B93" s="47" t="inlineStr">
        <is>
          <t>Outside Broker Referrals</t>
        </is>
      </c>
      <c r="C93" s="36" t="n"/>
      <c r="D93" s="36" t="n"/>
      <c r="F93" t="n">
        <v>1</v>
      </c>
    </row>
    <row r="94">
      <c r="B94" s="47" t="inlineStr">
        <is>
          <t>Attorneys</t>
        </is>
      </c>
      <c r="C94" s="36" t="n"/>
      <c r="D94" s="36" t="n"/>
      <c r="F94" t="n">
        <v>1</v>
      </c>
    </row>
    <row r="95">
      <c r="B95" s="47" t="inlineStr">
        <is>
          <t>CPAs / Accountants</t>
        </is>
      </c>
      <c r="C95" s="36" t="n"/>
      <c r="D95" s="36" t="n"/>
      <c r="F95" t="n">
        <v>1</v>
      </c>
    </row>
    <row r="96">
      <c r="B96" s="47" t="inlineStr">
        <is>
          <t>Lenders / Bankers</t>
        </is>
      </c>
      <c r="C96" s="36" t="n"/>
      <c r="D96" s="36" t="n"/>
      <c r="F96" t="n">
        <v>1</v>
      </c>
    </row>
    <row r="97">
      <c r="B97" s="47" t="inlineStr">
        <is>
          <t>Developers / Builders</t>
        </is>
      </c>
      <c r="C97" s="36" t="n"/>
      <c r="D97" s="36" t="n"/>
      <c r="F97" t="n">
        <v>1</v>
      </c>
    </row>
    <row r="98">
      <c r="B98" s="47" t="inlineStr">
        <is>
          <t>Investors</t>
        </is>
      </c>
      <c r="C98" s="36" t="n"/>
      <c r="D98" s="36" t="n"/>
      <c r="F98" t="n">
        <v>1</v>
      </c>
    </row>
    <row r="99">
      <c r="B99" s="47" t="inlineStr">
        <is>
          <t>Business Owners</t>
        </is>
      </c>
      <c r="C99" s="36" t="n"/>
      <c r="D99" s="36" t="n"/>
      <c r="F99" t="n">
        <v>1</v>
      </c>
    </row>
    <row r="100">
      <c r="B100" s="47" t="inlineStr">
        <is>
          <t>Networking Organizations</t>
        </is>
      </c>
      <c r="C100" s="36" t="n"/>
      <c r="D100" s="36" t="n"/>
      <c r="F100" t="n">
        <v>1</v>
      </c>
    </row>
    <row r="101">
      <c r="B101" s="47" t="inlineStr">
        <is>
          <t>Email Campaigns</t>
        </is>
      </c>
      <c r="C101" s="36" t="n"/>
      <c r="D101" s="36" t="n"/>
      <c r="F101" t="n">
        <v>1</v>
      </c>
    </row>
    <row r="102">
      <c r="B102" s="47" t="inlineStr">
        <is>
          <t>Direct Mail</t>
        </is>
      </c>
      <c r="C102" s="36" t="n"/>
      <c r="D102" s="36" t="n"/>
      <c r="F102" t="n">
        <v>1</v>
      </c>
    </row>
    <row r="103">
      <c r="B103" s="47" t="inlineStr">
        <is>
          <t>Social Media / Content</t>
        </is>
      </c>
      <c r="C103" s="36" t="n"/>
      <c r="D103" s="36" t="n"/>
      <c r="F103" t="n">
        <v>1</v>
      </c>
    </row>
    <row r="104">
      <c r="B104" s="47" t="inlineStr">
        <is>
          <t>Crexi / Online Platforms</t>
        </is>
      </c>
      <c r="C104" s="36" t="n"/>
      <c r="D104" s="36" t="n"/>
      <c r="F104" t="n">
        <v>1</v>
      </c>
    </row>
    <row r="105">
      <c r="B105" s="47" t="inlineStr">
        <is>
          <t>Database / CRM Follow-Up</t>
        </is>
      </c>
      <c r="C105" s="36" t="n"/>
      <c r="D105" s="36" t="n"/>
      <c r="F105" t="n">
        <v>1</v>
      </c>
    </row>
    <row r="106">
      <c r="B106" s="47" t="inlineStr">
        <is>
          <t>Property Visits / Canvassing</t>
        </is>
      </c>
      <c r="C106" s="36" t="n"/>
      <c r="D106" s="36" t="n"/>
      <c r="F106" t="n">
        <v>1</v>
      </c>
    </row>
    <row r="107">
      <c r="B107" s="47" t="inlineStr">
        <is>
          <t>Market Center Relationships</t>
        </is>
      </c>
      <c r="C107" s="36" t="n"/>
      <c r="D107" s="36" t="n"/>
      <c r="F107" t="n">
        <v>1</v>
      </c>
    </row>
    <row r="108">
      <c r="B108" s="47" t="inlineStr">
        <is>
          <t>Other</t>
        </is>
      </c>
      <c r="C108" s="36" t="n"/>
      <c r="D108" s="36" t="n"/>
      <c r="F108" t="n">
        <v>1</v>
      </c>
    </row>
    <row r="109" ht="48" customHeight="1">
      <c r="B109" s="43" t="inlineStr">
        <is>
          <t>If Other, please explain:</t>
        </is>
      </c>
      <c r="C109" s="44" t="n"/>
      <c r="D109" s="28" t="n"/>
      <c r="E109" s="28" t="n"/>
      <c r="F109" t="n">
        <v>1</v>
      </c>
    </row>
    <row r="110" ht="48" customHeight="1">
      <c r="B110" s="43" t="inlineStr">
        <is>
          <t>What are currently your TOP THREE sources of business?</t>
        </is>
      </c>
      <c r="C110" s="44" t="n"/>
      <c r="D110" s="28" t="n"/>
      <c r="E110" s="28" t="n"/>
      <c r="F110" t="n">
        <v>1</v>
      </c>
    </row>
    <row r="111" ht="48" customHeight="1">
      <c r="B111" s="43" t="inlineStr">
        <is>
          <t>Which one has produced the most actual opportunities or transactions?</t>
        </is>
      </c>
      <c r="C111" s="44" t="n"/>
      <c r="D111" s="28" t="n"/>
      <c r="E111" s="28" t="n"/>
      <c r="F111" t="n">
        <v>1</v>
      </c>
    </row>
    <row r="112" ht="48" customHeight="1">
      <c r="B112" s="43" t="inlineStr">
        <is>
          <t>Which business-development channel do you believe you should be using more?</t>
        </is>
      </c>
      <c r="C112" s="44" t="n"/>
      <c r="D112" s="28" t="n"/>
      <c r="E112" s="28" t="n"/>
      <c r="F112" t="n">
        <v>1</v>
      </c>
    </row>
    <row r="114" ht="24" customHeight="1">
      <c r="A114" s="42" t="inlineStr">
        <is>
          <t>6. YOUR MARKET CENTER</t>
        </is>
      </c>
    </row>
    <row r="115" ht="48" customHeight="1">
      <c r="B115" s="43" t="inlineStr">
        <is>
          <t>How have you been developing relationships within your Market Center?</t>
        </is>
      </c>
      <c r="C115" s="44" t="n"/>
      <c r="D115" s="28" t="n"/>
      <c r="E115" s="28" t="n"/>
      <c r="F115" t="n">
        <v>1</v>
      </c>
    </row>
    <row r="116">
      <c r="B116" s="43" t="inlineStr">
        <is>
          <t>How many residential agents in your Market Center know that you handle commercial real estate?</t>
        </is>
      </c>
      <c r="C116" s="44" t="n"/>
      <c r="D116" s="28" t="n"/>
      <c r="E116" s="28" t="n"/>
      <c r="F116" t="n">
        <v>1</v>
      </c>
    </row>
    <row r="117">
      <c r="B117" s="48" t="inlineStr">
        <is>
          <t>What have you done to generate commercial referrals from your Market Center?  (select Yes for all that apply)</t>
        </is>
      </c>
    </row>
    <row r="118">
      <c r="B118" s="47" t="inlineStr">
        <is>
          <t xml:space="preserve">      Introduced myself individually to agents</t>
        </is>
      </c>
      <c r="C118" s="36" t="n"/>
    </row>
    <row r="119">
      <c r="B119" s="47" t="inlineStr">
        <is>
          <t xml:space="preserve">      Attended team/office meetings</t>
        </is>
      </c>
      <c r="C119" s="36" t="n"/>
    </row>
    <row r="120">
      <c r="B120" s="47" t="inlineStr">
        <is>
          <t xml:space="preserve">      Given commercial real estate presentations</t>
        </is>
      </c>
      <c r="C120" s="36" t="n"/>
    </row>
    <row r="121">
      <c r="B121" s="47" t="inlineStr">
        <is>
          <t xml:space="preserve">      Shared commercial opportunities/listings</t>
        </is>
      </c>
      <c r="C121" s="36" t="n"/>
    </row>
    <row r="122">
      <c r="B122" s="47" t="inlineStr">
        <is>
          <t xml:space="preserve">      Asked agents directly for referrals</t>
        </is>
      </c>
      <c r="C122" s="36" t="n"/>
    </row>
    <row r="123">
      <c r="B123" s="47" t="inlineStr">
        <is>
          <t xml:space="preserve">      Helped agents with commercial questions</t>
        </is>
      </c>
      <c r="C123" s="36" t="n"/>
    </row>
    <row r="124">
      <c r="B124" s="47" t="inlineStr">
        <is>
          <t xml:space="preserve">      Developed relationships with leadership</t>
        </is>
      </c>
      <c r="C124" s="36" t="n"/>
    </row>
    <row r="125">
      <c r="B125" s="47" t="inlineStr">
        <is>
          <t xml:space="preserve">      Participated in office events</t>
        </is>
      </c>
      <c r="C125" s="36" t="n"/>
    </row>
    <row r="126">
      <c r="B126" s="47" t="inlineStr">
        <is>
          <t xml:space="preserve">      Sent emails/newsletters to agents</t>
        </is>
      </c>
      <c r="C126" s="36" t="n"/>
    </row>
    <row r="127">
      <c r="B127" s="47" t="inlineStr">
        <is>
          <t xml:space="preserve">      Shared CRE educational content</t>
        </is>
      </c>
      <c r="C127" s="36" t="n"/>
    </row>
    <row r="128">
      <c r="B128" s="47" t="inlineStr">
        <is>
          <t xml:space="preserve">      Nothing consistently yet</t>
        </is>
      </c>
      <c r="C128" s="36" t="n"/>
    </row>
    <row r="129">
      <c r="B129" s="47" t="inlineStr">
        <is>
          <t xml:space="preserve">      Other (describe →)</t>
        </is>
      </c>
      <c r="C129" s="36" t="n"/>
      <c r="D129" s="28" t="n"/>
    </row>
    <row r="130">
      <c r="B130" s="43" t="inlineStr">
        <is>
          <t>Meaningful conversations with Market Center agents in a typical month:</t>
        </is>
      </c>
      <c r="C130" s="44" t="n"/>
      <c r="D130" s="28" t="n"/>
      <c r="E130" s="28" t="n"/>
      <c r="F130" t="n">
        <v>1</v>
      </c>
    </row>
    <row r="131">
      <c r="B131" s="43" t="inlineStr">
        <is>
          <t>Commercial referrals received from your Market Center in the past 90 days:</t>
        </is>
      </c>
      <c r="C131" s="44" t="n"/>
      <c r="D131" s="28" t="n"/>
      <c r="E131" s="28" t="n"/>
      <c r="F131" t="n">
        <v>1</v>
      </c>
    </row>
    <row r="132" ht="48" customHeight="1">
      <c r="B132" s="43" t="inlineStr">
        <is>
          <t>What could you do differently over the next 90 days to become the commercial resource within your office?</t>
        </is>
      </c>
      <c r="C132" s="44" t="n"/>
      <c r="D132" s="28" t="n"/>
      <c r="E132" s="28" t="n"/>
      <c r="F132" t="n">
        <v>1</v>
      </c>
    </row>
    <row r="134" ht="24" customHeight="1">
      <c r="A134" s="42" t="inlineStr">
        <is>
          <t>7. YOUR SPHERE OF INFLUENCE</t>
        </is>
      </c>
    </row>
    <row r="135">
      <c r="B135" s="48" t="inlineStr">
        <is>
          <t>Who currently knows that you work in commercial real estate?  (select Yes for all that apply)</t>
        </is>
      </c>
    </row>
    <row r="136">
      <c r="B136" s="47" t="inlineStr">
        <is>
          <t xml:space="preserve">      Friends / Family</t>
        </is>
      </c>
      <c r="C136" s="36" t="n"/>
    </row>
    <row r="137">
      <c r="B137" s="47" t="inlineStr">
        <is>
          <t xml:space="preserve">      Former Clients</t>
        </is>
      </c>
      <c r="C137" s="36" t="n"/>
    </row>
    <row r="138">
      <c r="B138" s="47" t="inlineStr">
        <is>
          <t xml:space="preserve">      Residential Clients</t>
        </is>
      </c>
      <c r="C138" s="36" t="n"/>
    </row>
    <row r="139">
      <c r="B139" s="47" t="inlineStr">
        <is>
          <t xml:space="preserve">      Business Owners</t>
        </is>
      </c>
      <c r="C139" s="36" t="n"/>
    </row>
    <row r="140">
      <c r="B140" s="47" t="inlineStr">
        <is>
          <t xml:space="preserve">      Investors</t>
        </is>
      </c>
      <c r="C140" s="36" t="n"/>
    </row>
    <row r="141">
      <c r="B141" s="47" t="inlineStr">
        <is>
          <t xml:space="preserve">      Attorneys</t>
        </is>
      </c>
      <c r="C141" s="36" t="n"/>
    </row>
    <row r="142">
      <c r="B142" s="47" t="inlineStr">
        <is>
          <t xml:space="preserve">      CPAs</t>
        </is>
      </c>
      <c r="C142" s="36" t="n"/>
    </row>
    <row r="143">
      <c r="B143" s="47" t="inlineStr">
        <is>
          <t xml:space="preserve">      Lenders</t>
        </is>
      </c>
      <c r="C143" s="36" t="n"/>
    </row>
    <row r="144">
      <c r="B144" s="47" t="inlineStr">
        <is>
          <t xml:space="preserve">      Developers</t>
        </is>
      </c>
      <c r="C144" s="36" t="n"/>
    </row>
    <row r="145">
      <c r="B145" s="47" t="inlineStr">
        <is>
          <t xml:space="preserve">      Contractors</t>
        </is>
      </c>
      <c r="C145" s="36" t="n"/>
    </row>
    <row r="146">
      <c r="B146" s="47" t="inlineStr">
        <is>
          <t xml:space="preserve">      Other Brokers</t>
        </is>
      </c>
      <c r="C146" s="36" t="n"/>
    </row>
    <row r="147">
      <c r="B147" s="47" t="inlineStr">
        <is>
          <t xml:space="preserve">      Community Organizations</t>
        </is>
      </c>
      <c r="C147" s="36" t="n"/>
    </row>
    <row r="148">
      <c r="B148" s="47" t="inlineStr">
        <is>
          <t xml:space="preserve">      Other (describe →)</t>
        </is>
      </c>
      <c r="C148" s="36" t="n"/>
      <c r="D148" s="28" t="n"/>
    </row>
    <row r="149">
      <c r="B149" s="43" t="inlineStr">
        <is>
          <t>Approximately how many people are part of your professional sphere today?</t>
        </is>
      </c>
      <c r="C149" s="44" t="n"/>
      <c r="D149" s="28" t="n"/>
      <c r="E149" s="28" t="n"/>
      <c r="F149" t="n">
        <v>1</v>
      </c>
    </row>
    <row r="150">
      <c r="B150" s="43" t="inlineStr">
        <is>
          <t>How often are you intentionally communicating with your sphere?</t>
        </is>
      </c>
      <c r="C150" s="44" t="n"/>
      <c r="D150" s="28" t="n"/>
      <c r="E150" s="28" t="n"/>
      <c r="F150" t="n">
        <v>1</v>
      </c>
    </row>
    <row r="151" ht="48" customHeight="1">
      <c r="B151" s="43" t="inlineStr">
        <is>
          <t>What are you currently doing to grow your sphere?</t>
        </is>
      </c>
      <c r="C151" s="44" t="n"/>
      <c r="D151" s="28" t="n"/>
      <c r="E151" s="28" t="n"/>
      <c r="F151" t="n">
        <v>1</v>
      </c>
    </row>
    <row r="152" ht="48" customHeight="1">
      <c r="B152" s="43" t="inlineStr">
        <is>
          <t>Five people or categories of people you should be building stronger relationships with:</t>
        </is>
      </c>
      <c r="C152" s="44" t="n"/>
      <c r="D152" s="28" t="n"/>
      <c r="E152" s="28" t="n"/>
      <c r="F152" t="n">
        <v>1</v>
      </c>
    </row>
    <row r="154" ht="24" customHeight="1">
      <c r="A154" s="42" t="inlineStr">
        <is>
          <t>8. MARKET &amp; PRODUCT FOCUS</t>
        </is>
      </c>
    </row>
    <row r="155">
      <c r="B155" s="43" t="inlineStr">
        <is>
          <t>Do you currently have a defined commercial real estate focus?</t>
        </is>
      </c>
      <c r="C155" s="44" t="n"/>
      <c r="D155" s="28" t="n"/>
      <c r="E155" s="28" t="n"/>
      <c r="F155" t="n">
        <v>1</v>
      </c>
    </row>
    <row r="156">
      <c r="B156" s="43" t="inlineStr">
        <is>
          <t>Are you focusing on a particular geographic area?</t>
        </is>
      </c>
      <c r="C156" s="44" t="n"/>
      <c r="D156" s="28" t="n"/>
      <c r="E156" s="28" t="n"/>
      <c r="F156" t="n">
        <v>1</v>
      </c>
    </row>
    <row r="157">
      <c r="B157" s="43" t="inlineStr">
        <is>
          <t>Primary Market:</t>
        </is>
      </c>
      <c r="C157" s="44" t="n"/>
      <c r="D157" s="28" t="n"/>
      <c r="E157" s="28" t="n"/>
      <c r="F157" t="n">
        <v>1</v>
      </c>
    </row>
    <row r="158">
      <c r="B158" s="43" t="inlineStr">
        <is>
          <t>Secondary Market:</t>
        </is>
      </c>
      <c r="C158" s="44" t="n"/>
      <c r="D158" s="28" t="n"/>
      <c r="E158" s="28" t="n"/>
      <c r="F158" t="n">
        <v>1</v>
      </c>
    </row>
    <row r="159" ht="48" customHeight="1">
      <c r="B159" s="43" t="inlineStr">
        <is>
          <t>Specific submarkets / corridors / neighborhoods:</t>
        </is>
      </c>
      <c r="C159" s="44" t="n"/>
      <c r="D159" s="28" t="n"/>
      <c r="E159" s="28" t="n"/>
      <c r="F159" t="n">
        <v>1</v>
      </c>
    </row>
    <row r="160">
      <c r="B160" s="48" t="inlineStr">
        <is>
          <t>Which property types are you currently pursuing?  (select Yes for all that apply)</t>
        </is>
      </c>
    </row>
    <row r="161">
      <c r="B161" s="47" t="inlineStr">
        <is>
          <t xml:space="preserve">      Retail</t>
        </is>
      </c>
      <c r="C161" s="36" t="n"/>
    </row>
    <row r="162">
      <c r="B162" s="47" t="inlineStr">
        <is>
          <t xml:space="preserve">      Office</t>
        </is>
      </c>
      <c r="C162" s="36" t="n"/>
    </row>
    <row r="163">
      <c r="B163" s="47" t="inlineStr">
        <is>
          <t xml:space="preserve">      Industrial</t>
        </is>
      </c>
      <c r="C163" s="36" t="n"/>
    </row>
    <row r="164">
      <c r="B164" s="47" t="inlineStr">
        <is>
          <t xml:space="preserve">      Land</t>
        </is>
      </c>
      <c r="C164" s="36" t="n"/>
    </row>
    <row r="165">
      <c r="B165" s="47" t="inlineStr">
        <is>
          <t xml:space="preserve">      Multifamily</t>
        </is>
      </c>
      <c r="C165" s="36" t="n"/>
    </row>
    <row r="166">
      <c r="B166" s="47" t="inlineStr">
        <is>
          <t xml:space="preserve">      Medical / Healthcare</t>
        </is>
      </c>
      <c r="C166" s="36" t="n"/>
    </row>
    <row r="167">
      <c r="B167" s="47" t="inlineStr">
        <is>
          <t xml:space="preserve">      Hospitality</t>
        </is>
      </c>
      <c r="C167" s="36" t="n"/>
    </row>
    <row r="168">
      <c r="B168" s="47" t="inlineStr">
        <is>
          <t xml:space="preserve">      Investment Sales</t>
        </is>
      </c>
      <c r="C168" s="36" t="n"/>
    </row>
    <row r="169">
      <c r="B169" s="47" t="inlineStr">
        <is>
          <t xml:space="preserve">      Development</t>
        </is>
      </c>
      <c r="C169" s="36" t="n"/>
    </row>
    <row r="170">
      <c r="B170" s="47" t="inlineStr">
        <is>
          <t xml:space="preserve">      Business Brokerage</t>
        </is>
      </c>
      <c r="C170" s="36" t="n"/>
    </row>
    <row r="171">
      <c r="B171" s="47" t="inlineStr">
        <is>
          <t xml:space="preserve">      Other (describe →)</t>
        </is>
      </c>
      <c r="C171" s="36" t="n"/>
      <c r="D171" s="28" t="n"/>
    </row>
    <row r="172" ht="48" customHeight="1">
      <c r="B172" s="43" t="inlineStr">
        <is>
          <t>Which ONE or TWO areas would you most like to become known for?</t>
        </is>
      </c>
      <c r="C172" s="44" t="n"/>
      <c r="D172" s="28" t="n"/>
      <c r="E172" s="28" t="n"/>
      <c r="F172" t="n">
        <v>1</v>
      </c>
    </row>
    <row r="173" ht="48" customHeight="1">
      <c r="B173" s="43" t="inlineStr">
        <is>
          <t>If someone asked you today, “What type of commercial real estate do you specialize in?” what would you say?</t>
        </is>
      </c>
      <c r="C173" s="44" t="n"/>
      <c r="D173" s="28" t="n"/>
      <c r="E173" s="28" t="n"/>
      <c r="F173" t="n">
        <v>1</v>
      </c>
    </row>
    <row r="174" ht="48" customHeight="1">
      <c r="B174" s="43" t="inlineStr">
        <is>
          <t>Do you feel confident saying that? Why or why not?</t>
        </is>
      </c>
      <c r="C174" s="44" t="n"/>
      <c r="D174" s="28" t="n"/>
      <c r="E174" s="28" t="n"/>
      <c r="F174" t="n">
        <v>1</v>
      </c>
    </row>
    <row r="176" ht="24" customHeight="1">
      <c r="A176" s="42" t="inlineStr">
        <is>
          <t>9. CURRENT COMMERCIAL PIPELINE</t>
        </is>
      </c>
    </row>
    <row r="177" ht="28" customHeight="1">
      <c r="A177" s="45" t="inlineStr">
        <is>
          <t>Do your best. Exact numbers are not required.</t>
        </is>
      </c>
    </row>
    <row r="178">
      <c r="B178" s="46" t="inlineStr">
        <is>
          <t>Category</t>
        </is>
      </c>
      <c r="C178" s="46" t="inlineStr">
        <is>
          <t>#</t>
        </is>
      </c>
      <c r="D178" s="46" t="inlineStr">
        <is>
          <t>Approx. Transaction Volume</t>
        </is>
      </c>
      <c r="E178" s="46" t="inlineStr">
        <is>
          <t>Potential GCI</t>
        </is>
      </c>
    </row>
    <row r="179">
      <c r="B179" s="47" t="inlineStr">
        <is>
          <t>Active Listings</t>
        </is>
      </c>
      <c r="C179" s="36" t="n"/>
      <c r="D179" s="37" t="n"/>
      <c r="E179" s="37" t="n"/>
      <c r="F179" t="n">
        <v>1</v>
      </c>
    </row>
    <row r="180">
      <c r="B180" s="47" t="inlineStr">
        <is>
          <t>Buyer Assignments</t>
        </is>
      </c>
      <c r="C180" s="36" t="n"/>
      <c r="D180" s="37" t="n"/>
      <c r="E180" s="37" t="n"/>
      <c r="F180" t="n">
        <v>1</v>
      </c>
    </row>
    <row r="181">
      <c r="B181" s="47" t="inlineStr">
        <is>
          <t>Tenant Representation</t>
        </is>
      </c>
      <c r="C181" s="36" t="n"/>
      <c r="D181" s="37" t="n"/>
      <c r="E181" s="37" t="n"/>
      <c r="F181" t="n">
        <v>1</v>
      </c>
    </row>
    <row r="182">
      <c r="B182" s="47" t="inlineStr">
        <is>
          <t>Landlord Representation</t>
        </is>
      </c>
      <c r="C182" s="36" t="n"/>
      <c r="D182" s="37" t="n"/>
      <c r="E182" s="37" t="n"/>
      <c r="F182" t="n">
        <v>1</v>
      </c>
    </row>
    <row r="183">
      <c r="B183" s="47" t="inlineStr">
        <is>
          <t>Active LOIs</t>
        </is>
      </c>
      <c r="C183" s="36" t="n"/>
      <c r="D183" s="37" t="n"/>
      <c r="E183" s="37" t="n"/>
      <c r="F183" t="n">
        <v>1</v>
      </c>
    </row>
    <row r="184">
      <c r="B184" s="47" t="inlineStr">
        <is>
          <t>Under Contract</t>
        </is>
      </c>
      <c r="C184" s="36" t="n"/>
      <c r="D184" s="37" t="n"/>
      <c r="E184" s="37" t="n"/>
      <c r="F184" t="n">
        <v>1</v>
      </c>
    </row>
    <row r="185">
      <c r="B185" s="47" t="inlineStr">
        <is>
          <t>Qualified Prospects</t>
        </is>
      </c>
      <c r="C185" s="36" t="n"/>
      <c r="D185" s="37" t="n"/>
      <c r="E185" s="37" t="n"/>
      <c r="F185" t="n">
        <v>1</v>
      </c>
    </row>
    <row r="186">
      <c r="B186" s="47" t="inlineStr">
        <is>
          <t>Early-Stage Opportunities</t>
        </is>
      </c>
      <c r="C186" s="36" t="n"/>
      <c r="D186" s="37" t="n"/>
      <c r="E186" s="37" t="n"/>
      <c r="F186" t="n">
        <v>1</v>
      </c>
    </row>
    <row r="187">
      <c r="B187" s="49" t="inlineStr">
        <is>
          <t>TOTAL</t>
        </is>
      </c>
      <c r="C187" s="50">
        <f>SUM(C179:C186)</f>
        <v/>
      </c>
      <c r="D187" s="55">
        <f>SUM(D179:D186)</f>
        <v/>
      </c>
      <c r="E187" s="55">
        <f>SUM(E179:E186)</f>
        <v/>
      </c>
    </row>
    <row r="188">
      <c r="B188" s="43" t="inlineStr">
        <is>
          <t>New commercial opportunities created in the last 30 days:</t>
        </is>
      </c>
      <c r="C188" s="44" t="n"/>
      <c r="D188" s="28" t="n"/>
      <c r="E188" s="28" t="n"/>
      <c r="F188" t="n">
        <v>1</v>
      </c>
    </row>
    <row r="189">
      <c r="B189" s="43" t="inlineStr">
        <is>
          <t>Prospect/client meetings in the last 30 days:</t>
        </is>
      </c>
      <c r="C189" s="44" t="n"/>
      <c r="D189" s="28" t="n"/>
      <c r="E189" s="28" t="n"/>
      <c r="F189" t="n">
        <v>1</v>
      </c>
    </row>
    <row r="190">
      <c r="B190" s="43" t="inlineStr">
        <is>
          <t>New people added to your commercial database in the last 30 days:</t>
        </is>
      </c>
      <c r="C190" s="44" t="n"/>
      <c r="D190" s="28" t="n"/>
      <c r="E190" s="28" t="n"/>
      <c r="F190" t="n">
        <v>1</v>
      </c>
    </row>
    <row r="191">
      <c r="B191" s="43" t="inlineStr">
        <is>
          <t>How many follow-ups are currently outstanding? (number or “Unsure”)</t>
        </is>
      </c>
      <c r="C191" s="44" t="n"/>
      <c r="D191" s="28" t="n"/>
      <c r="E191" s="28" t="n"/>
      <c r="F191" t="n">
        <v>1</v>
      </c>
    </row>
    <row r="192">
      <c r="B192" s="43" t="inlineStr">
        <is>
          <t>Do you currently know what your commercial pipeline is worth in potential GCI?</t>
        </is>
      </c>
      <c r="C192" s="44" t="n"/>
      <c r="D192" s="28" t="n"/>
      <c r="E192" s="28" t="n"/>
      <c r="F192" t="n">
        <v>1</v>
      </c>
    </row>
    <row r="194" ht="24" customHeight="1">
      <c r="A194" s="42" t="inlineStr">
        <is>
          <t>10. SKILLS &amp; CONFIDENCE ASSESSMENT</t>
        </is>
      </c>
    </row>
    <row r="195" ht="28" customHeight="1">
      <c r="A195" s="45" t="inlineStr">
        <is>
          <t>Rate yourself honestly.  1 = Need substantial help · 3 = Comfortable · 5 = Strong enough to teach someone else</t>
        </is>
      </c>
    </row>
    <row r="196">
      <c r="B196" s="46" t="inlineStr">
        <is>
          <t>Area</t>
        </is>
      </c>
      <c r="C196" s="46" t="inlineStr">
        <is>
          <t>Score 1–5</t>
        </is>
      </c>
    </row>
    <row r="197">
      <c r="B197" s="47" t="inlineStr">
        <is>
          <t>Cold Calling</t>
        </is>
      </c>
      <c r="C197" s="36" t="n"/>
      <c r="F197" t="n">
        <v>1</v>
      </c>
    </row>
    <row r="198">
      <c r="B198" s="47" t="inlineStr">
        <is>
          <t>Prospecting</t>
        </is>
      </c>
      <c r="C198" s="36" t="n"/>
      <c r="F198" t="n">
        <v>1</v>
      </c>
    </row>
    <row r="199">
      <c r="B199" s="47" t="inlineStr">
        <is>
          <t>Building Prospect Lists</t>
        </is>
      </c>
      <c r="C199" s="36" t="n"/>
      <c r="F199" t="n">
        <v>1</v>
      </c>
    </row>
    <row r="200">
      <c r="B200" s="47" t="inlineStr">
        <is>
          <t>Getting Decision Makers on the Phone</t>
        </is>
      </c>
      <c r="C200" s="36" t="n"/>
      <c r="F200" t="n">
        <v>1</v>
      </c>
    </row>
    <row r="201">
      <c r="B201" s="47" t="inlineStr">
        <is>
          <t>Converting Conversations into Meetings</t>
        </is>
      </c>
      <c r="C201" s="36" t="n"/>
      <c r="F201" t="n">
        <v>1</v>
      </c>
    </row>
    <row r="202">
      <c r="B202" s="47" t="inlineStr">
        <is>
          <t>Discovery Meetings</t>
        </is>
      </c>
      <c r="C202" s="36" t="n"/>
      <c r="F202" t="n">
        <v>1</v>
      </c>
    </row>
    <row r="203">
      <c r="B203" s="47" t="inlineStr">
        <is>
          <t>Listing Presentations</t>
        </is>
      </c>
      <c r="C203" s="36" t="n"/>
      <c r="F203" t="n">
        <v>1</v>
      </c>
    </row>
    <row r="204">
      <c r="B204" s="47" t="inlineStr">
        <is>
          <t>Buyer / Tenant Presentations</t>
        </is>
      </c>
      <c r="C204" s="36" t="n"/>
      <c r="F204" t="n">
        <v>1</v>
      </c>
    </row>
    <row r="205">
      <c r="B205" s="47" t="inlineStr">
        <is>
          <t>Market Research</t>
        </is>
      </c>
      <c r="C205" s="36" t="n"/>
      <c r="F205" t="n">
        <v>1</v>
      </c>
    </row>
    <row r="206">
      <c r="B206" s="47" t="inlineStr">
        <is>
          <t>Land id</t>
        </is>
      </c>
      <c r="C206" s="36" t="n"/>
      <c r="F206" t="n">
        <v>1</v>
      </c>
    </row>
    <row r="207">
      <c r="B207" s="47" t="inlineStr">
        <is>
          <t>Crexi</t>
        </is>
      </c>
      <c r="C207" s="36" t="n"/>
      <c r="F207" t="n">
        <v>1</v>
      </c>
    </row>
    <row r="208">
      <c r="B208" s="47" t="inlineStr">
        <is>
          <t>GIS</t>
        </is>
      </c>
      <c r="C208" s="36" t="n"/>
      <c r="F208" t="n">
        <v>1</v>
      </c>
    </row>
    <row r="209">
      <c r="B209" s="47" t="inlineStr">
        <is>
          <t>CRM / Database Management</t>
        </is>
      </c>
      <c r="C209" s="36" t="n"/>
      <c r="F209" t="n">
        <v>1</v>
      </c>
    </row>
    <row r="210">
      <c r="B210" s="47" t="inlineStr">
        <is>
          <t>Financial Underwriting</t>
        </is>
      </c>
      <c r="C210" s="36" t="n"/>
      <c r="F210" t="n">
        <v>1</v>
      </c>
    </row>
    <row r="211">
      <c r="B211" s="47" t="inlineStr">
        <is>
          <t>NOI / Cap Rate / Valuation</t>
        </is>
      </c>
      <c r="C211" s="36" t="n"/>
      <c r="F211" t="n">
        <v>1</v>
      </c>
    </row>
    <row r="212">
      <c r="B212" s="47" t="inlineStr">
        <is>
          <t>BOV Preparation</t>
        </is>
      </c>
      <c r="C212" s="36" t="n"/>
      <c r="F212" t="n">
        <v>1</v>
      </c>
    </row>
    <row r="213">
      <c r="B213" s="47" t="inlineStr">
        <is>
          <t>LOIs</t>
        </is>
      </c>
      <c r="C213" s="36" t="n"/>
      <c r="F213" t="n">
        <v>1</v>
      </c>
    </row>
    <row r="214">
      <c r="B214" s="47" t="inlineStr">
        <is>
          <t>Purchase Agreements</t>
        </is>
      </c>
      <c r="C214" s="36" t="n"/>
      <c r="F214" t="n">
        <v>1</v>
      </c>
    </row>
    <row r="215">
      <c r="B215" s="47" t="inlineStr">
        <is>
          <t>Commercial Leases</t>
        </is>
      </c>
      <c r="C215" s="36" t="n"/>
      <c r="F215" t="n">
        <v>1</v>
      </c>
    </row>
    <row r="216">
      <c r="B216" s="47" t="inlineStr">
        <is>
          <t>Due Diligence</t>
        </is>
      </c>
      <c r="C216" s="36" t="n"/>
      <c r="F216" t="n">
        <v>1</v>
      </c>
    </row>
    <row r="217">
      <c r="B217" s="47" t="inlineStr">
        <is>
          <t>Negotiation</t>
        </is>
      </c>
      <c r="C217" s="36" t="n"/>
      <c r="F217" t="n">
        <v>1</v>
      </c>
    </row>
    <row r="218">
      <c r="B218" s="47" t="inlineStr">
        <is>
          <t>Deal Management</t>
        </is>
      </c>
      <c r="C218" s="36" t="n"/>
      <c r="F218" t="n">
        <v>1</v>
      </c>
    </row>
    <row r="219">
      <c r="B219" s="47" t="inlineStr">
        <is>
          <t>Client Follow-Up</t>
        </is>
      </c>
      <c r="C219" s="36" t="n"/>
      <c r="F219" t="n">
        <v>1</v>
      </c>
    </row>
    <row r="220">
      <c r="B220" s="47" t="inlineStr">
        <is>
          <t>Networking</t>
        </is>
      </c>
      <c r="C220" s="36" t="n"/>
      <c r="F220" t="n">
        <v>1</v>
      </c>
    </row>
    <row r="221">
      <c r="B221" s="47" t="inlineStr">
        <is>
          <t>Referral Development</t>
        </is>
      </c>
      <c r="C221" s="36" t="n"/>
      <c r="F221" t="n">
        <v>1</v>
      </c>
    </row>
    <row r="222">
      <c r="B222" s="47" t="inlineStr">
        <is>
          <t>AI / ChatGPT</t>
        </is>
      </c>
      <c r="C222" s="36" t="n"/>
      <c r="F222" t="n">
        <v>1</v>
      </c>
    </row>
    <row r="223">
      <c r="B223" s="47" t="inlineStr">
        <is>
          <t>Personal Organization</t>
        </is>
      </c>
      <c r="C223" s="36" t="n"/>
      <c r="F223" t="n">
        <v>1</v>
      </c>
    </row>
    <row r="224">
      <c r="B224" s="47" t="inlineStr">
        <is>
          <t>Time Management</t>
        </is>
      </c>
      <c r="C224" s="36" t="n"/>
      <c r="F224" t="n">
        <v>1</v>
      </c>
    </row>
    <row r="225" ht="48" customHeight="1">
      <c r="B225" s="43" t="inlineStr">
        <is>
          <t>Three areas where you feel strongest:</t>
        </is>
      </c>
      <c r="C225" s="44" t="n"/>
      <c r="D225" s="28" t="n"/>
      <c r="E225" s="28" t="n"/>
      <c r="F225" t="n">
        <v>1</v>
      </c>
    </row>
    <row r="226" ht="48" customHeight="1">
      <c r="B226" s="43" t="inlineStr">
        <is>
          <t>Three areas where you most want help:</t>
        </is>
      </c>
      <c r="C226" s="44" t="n"/>
      <c r="D226" s="28" t="n"/>
      <c r="E226" s="28" t="n"/>
      <c r="F226" t="n">
        <v>1</v>
      </c>
    </row>
    <row r="228" ht="24" customHeight="1">
      <c r="A228" s="42" t="inlineStr">
        <is>
          <t>11. PAIN POINTS &amp; AREAS FOR IMPROVEMENT</t>
        </is>
      </c>
    </row>
    <row r="229">
      <c r="B229" s="48" t="inlineStr">
        <is>
          <t>What do you believe is currently preventing you from growing faster?  (select Yes for all that apply)</t>
        </is>
      </c>
    </row>
    <row r="230">
      <c r="B230" s="47" t="inlineStr">
        <is>
          <t xml:space="preserve">      Not enough prospecting</t>
        </is>
      </c>
      <c r="C230" s="36" t="n"/>
    </row>
    <row r="231">
      <c r="B231" s="47" t="inlineStr">
        <is>
          <t xml:space="preserve">      Difficulty finding prospects</t>
        </is>
      </c>
      <c r="C231" s="36" t="n"/>
    </row>
    <row r="232">
      <c r="B232" s="47" t="inlineStr">
        <is>
          <t xml:space="preserve">      Difficulty making calls</t>
        </is>
      </c>
      <c r="C232" s="36" t="n"/>
    </row>
    <row r="233">
      <c r="B233" s="47" t="inlineStr">
        <is>
          <t xml:space="preserve">      Difficulty converting calls</t>
        </is>
      </c>
      <c r="C233" s="36" t="n"/>
    </row>
    <row r="234">
      <c r="B234" s="47" t="inlineStr">
        <is>
          <t xml:space="preserve">      Follow-up</t>
        </is>
      </c>
      <c r="C234" s="36" t="n"/>
    </row>
    <row r="235">
      <c r="B235" s="47" t="inlineStr">
        <is>
          <t xml:space="preserve">      Time management</t>
        </is>
      </c>
      <c r="C235" s="36" t="n"/>
    </row>
    <row r="236">
      <c r="B236" s="47" t="inlineStr">
        <is>
          <t xml:space="preserve">      Daily structure</t>
        </is>
      </c>
      <c r="C236" s="36" t="n"/>
    </row>
    <row r="237">
      <c r="B237" s="47" t="inlineStr">
        <is>
          <t xml:space="preserve">      Residential business consuming time</t>
        </is>
      </c>
      <c r="C237" s="36" t="n"/>
    </row>
    <row r="238">
      <c r="B238" s="47" t="inlineStr">
        <is>
          <t xml:space="preserve">      Lack of experience</t>
        </is>
      </c>
      <c r="C238" s="36" t="n"/>
    </row>
    <row r="239">
      <c r="B239" s="47" t="inlineStr">
        <is>
          <t xml:space="preserve">      Lack of confidence</t>
        </is>
      </c>
      <c r="C239" s="36" t="n"/>
    </row>
    <row r="240">
      <c r="B240" s="47" t="inlineStr">
        <is>
          <t xml:space="preserve">      Market knowledge</t>
        </is>
      </c>
      <c r="C240" s="36" t="n"/>
    </row>
    <row r="241">
      <c r="B241" s="47" t="inlineStr">
        <is>
          <t xml:space="preserve">      Product knowledge</t>
        </is>
      </c>
      <c r="C241" s="36" t="n"/>
    </row>
    <row r="242">
      <c r="B242" s="47" t="inlineStr">
        <is>
          <t xml:space="preserve">      Financial analysis</t>
        </is>
      </c>
      <c r="C242" s="36" t="n"/>
    </row>
    <row r="243">
      <c r="B243" s="47" t="inlineStr">
        <is>
          <t xml:space="preserve">      Contracts / LOIs</t>
        </is>
      </c>
      <c r="C243" s="36" t="n"/>
    </row>
    <row r="244">
      <c r="B244" s="47" t="inlineStr">
        <is>
          <t xml:space="preserve">      Negotiation</t>
        </is>
      </c>
      <c r="C244" s="36" t="n"/>
    </row>
    <row r="245">
      <c r="B245" s="47" t="inlineStr">
        <is>
          <t xml:space="preserve">      Technology</t>
        </is>
      </c>
      <c r="C245" s="36" t="n"/>
    </row>
    <row r="246">
      <c r="B246" s="47" t="inlineStr">
        <is>
          <t xml:space="preserve">      Marketing</t>
        </is>
      </c>
      <c r="C246" s="36" t="n"/>
    </row>
    <row r="247">
      <c r="B247" s="47" t="inlineStr">
        <is>
          <t xml:space="preserve">      Building a sphere</t>
        </is>
      </c>
      <c r="C247" s="36" t="n"/>
    </row>
    <row r="248">
      <c r="B248" s="47" t="inlineStr">
        <is>
          <t xml:space="preserve">      Market Center relationships</t>
        </is>
      </c>
      <c r="C248" s="36" t="n"/>
    </row>
    <row r="249">
      <c r="B249" s="47" t="inlineStr">
        <is>
          <t xml:space="preserve">      Lack of specialization</t>
        </is>
      </c>
      <c r="C249" s="36" t="n"/>
    </row>
    <row r="250">
      <c r="B250" s="47" t="inlineStr">
        <is>
          <t xml:space="preserve">      Organization / CRM</t>
        </is>
      </c>
      <c r="C250" s="36" t="n"/>
    </row>
    <row r="251">
      <c r="B251" s="47" t="inlineStr">
        <is>
          <t xml:space="preserve">      Accountability</t>
        </is>
      </c>
      <c r="C251" s="36" t="n"/>
    </row>
    <row r="252">
      <c r="B252" s="47" t="inlineStr">
        <is>
          <t xml:space="preserve">      Other (describe →)</t>
        </is>
      </c>
      <c r="C252" s="36" t="n"/>
      <c r="D252" s="28" t="n"/>
    </row>
    <row r="253" ht="48" customHeight="1">
      <c r="B253" s="43" t="inlineStr">
        <is>
          <t>What is your single biggest pain point right now?</t>
        </is>
      </c>
      <c r="C253" s="44" t="n"/>
      <c r="D253" s="28" t="n"/>
      <c r="E253" s="28" t="n"/>
      <c r="F253" t="n">
        <v>1</v>
      </c>
    </row>
    <row r="254" ht="48" customHeight="1">
      <c r="B254" s="43" t="inlineStr">
        <is>
          <t>What is one recurring problem in your business that you would like help solving?</t>
        </is>
      </c>
      <c r="C254" s="44" t="n"/>
      <c r="D254" s="28" t="n"/>
      <c r="E254" s="28" t="n"/>
      <c r="F254" t="n">
        <v>1</v>
      </c>
    </row>
    <row r="255" ht="48" customHeight="1">
      <c r="B255" s="43" t="inlineStr">
        <is>
          <t>What is something you know you should be doing but have not consistently done?</t>
        </is>
      </c>
      <c r="C255" s="44" t="n"/>
      <c r="D255" s="28" t="n"/>
      <c r="E255" s="28" t="n"/>
      <c r="F255" t="n">
        <v>1</v>
      </c>
    </row>
    <row r="257" ht="24" customHeight="1">
      <c r="A257" s="42" t="inlineStr">
        <is>
          <t>12. PRAEDIUM SUPPORT &amp; DEVELOPMENT</t>
        </is>
      </c>
    </row>
    <row r="258">
      <c r="B258" s="46" t="inlineStr">
        <is>
          <t>Area</t>
        </is>
      </c>
      <c r="C258" s="46" t="inlineStr">
        <is>
          <t>Need More Support?</t>
        </is>
      </c>
    </row>
    <row r="259">
      <c r="B259" s="47" t="inlineStr">
        <is>
          <t>Prospecting</t>
        </is>
      </c>
      <c r="C259" s="36" t="n"/>
      <c r="F259" t="n">
        <v>1</v>
      </c>
    </row>
    <row r="260">
      <c r="B260" s="47" t="inlineStr">
        <is>
          <t>Prospect Lists</t>
        </is>
      </c>
      <c r="C260" s="36" t="n"/>
      <c r="F260" t="n">
        <v>1</v>
      </c>
    </row>
    <row r="261">
      <c r="B261" s="47" t="inlineStr">
        <is>
          <t>Market Research</t>
        </is>
      </c>
      <c r="C261" s="36" t="n"/>
      <c r="F261" t="n">
        <v>1</v>
      </c>
    </row>
    <row r="262">
      <c r="B262" s="47" t="inlineStr">
        <is>
          <t>Deal Strategy</t>
        </is>
      </c>
      <c r="C262" s="36" t="n"/>
      <c r="F262" t="n">
        <v>1</v>
      </c>
    </row>
    <row r="263">
      <c r="B263" s="47" t="inlineStr">
        <is>
          <t>Underwriting</t>
        </is>
      </c>
      <c r="C263" s="36" t="n"/>
      <c r="F263" t="n">
        <v>1</v>
      </c>
    </row>
    <row r="264">
      <c r="B264" s="47" t="inlineStr">
        <is>
          <t>Contracts / LOIs</t>
        </is>
      </c>
      <c r="C264" s="36" t="n"/>
      <c r="F264" t="n">
        <v>1</v>
      </c>
    </row>
    <row r="265">
      <c r="B265" s="47" t="inlineStr">
        <is>
          <t>Negotiation</t>
        </is>
      </c>
      <c r="C265" s="36" t="n"/>
      <c r="F265" t="n">
        <v>1</v>
      </c>
    </row>
    <row r="266">
      <c r="B266" s="47" t="inlineStr">
        <is>
          <t>Listing Presentations</t>
        </is>
      </c>
      <c r="C266" s="36" t="n"/>
      <c r="F266" t="n">
        <v>1</v>
      </c>
    </row>
    <row r="267">
      <c r="B267" s="47" t="inlineStr">
        <is>
          <t>Marketing</t>
        </is>
      </c>
      <c r="C267" s="36" t="n"/>
      <c r="F267" t="n">
        <v>1</v>
      </c>
    </row>
    <row r="268">
      <c r="B268" s="47" t="inlineStr">
        <is>
          <t>Technology</t>
        </is>
      </c>
      <c r="C268" s="36" t="n"/>
      <c r="F268" t="n">
        <v>1</v>
      </c>
    </row>
    <row r="269">
      <c r="B269" s="47" t="inlineStr">
        <is>
          <t>CRM</t>
        </is>
      </c>
      <c r="C269" s="36" t="n"/>
      <c r="F269" t="n">
        <v>1</v>
      </c>
    </row>
    <row r="270">
      <c r="B270" s="47" t="inlineStr">
        <is>
          <t>Administrative Support</t>
        </is>
      </c>
      <c r="C270" s="36" t="n"/>
      <c r="F270" t="n">
        <v>1</v>
      </c>
    </row>
    <row r="271">
      <c r="B271" s="47" t="inlineStr">
        <is>
          <t>Joint Meetings / Calls</t>
        </is>
      </c>
      <c r="C271" s="36" t="n"/>
      <c r="F271" t="n">
        <v>1</v>
      </c>
    </row>
    <row r="272">
      <c r="B272" s="47" t="inlineStr">
        <is>
          <t>Mentoring</t>
        </is>
      </c>
      <c r="C272" s="36" t="n"/>
      <c r="F272" t="n">
        <v>1</v>
      </c>
    </row>
    <row r="273">
      <c r="B273" s="47" t="inlineStr">
        <is>
          <t>Accountability</t>
        </is>
      </c>
      <c r="C273" s="36" t="n"/>
      <c r="F273" t="n">
        <v>1</v>
      </c>
    </row>
    <row r="274">
      <c r="B274" s="47" t="inlineStr">
        <is>
          <t>Referrals</t>
        </is>
      </c>
      <c r="C274" s="36" t="n"/>
      <c r="F274" t="n">
        <v>1</v>
      </c>
    </row>
    <row r="275">
      <c r="B275" s="47" t="inlineStr">
        <is>
          <t>Market Center Development</t>
        </is>
      </c>
      <c r="C275" s="36" t="n"/>
      <c r="F275" t="n">
        <v>1</v>
      </c>
    </row>
    <row r="276">
      <c r="B276" s="47" t="inlineStr">
        <is>
          <t>Specialized CRE Training</t>
        </is>
      </c>
      <c r="C276" s="36" t="n"/>
      <c r="F276" t="n">
        <v>1</v>
      </c>
    </row>
    <row r="277" ht="48" customHeight="1">
      <c r="B277" s="43" t="inlineStr">
        <is>
          <t>What could Praedium do that would make the biggest difference in your business?</t>
        </is>
      </c>
      <c r="C277" s="44" t="n"/>
      <c r="D277" s="28" t="n"/>
      <c r="E277" s="28" t="n"/>
      <c r="F277" t="n">
        <v>1</v>
      </c>
    </row>
    <row r="278" ht="48" customHeight="1">
      <c r="B278" s="43" t="inlineStr">
        <is>
          <t>What do you need more of from me personally?</t>
        </is>
      </c>
      <c r="C278" s="44" t="n"/>
      <c r="D278" s="28" t="n"/>
      <c r="E278" s="28" t="n"/>
      <c r="F278" t="n">
        <v>1</v>
      </c>
    </row>
    <row r="279" ht="48" customHeight="1">
      <c r="B279" s="43" t="inlineStr">
        <is>
          <t>What should we be doing as a team that we are currently not doing?</t>
        </is>
      </c>
      <c r="C279" s="44" t="n"/>
      <c r="D279" s="28" t="n"/>
      <c r="E279" s="28" t="n"/>
      <c r="F279" t="n">
        <v>1</v>
      </c>
    </row>
    <row r="280" ht="48" customHeight="1">
      <c r="B280" s="43" t="inlineStr">
        <is>
          <t>What would you most like to learn during our biweekly meetings?</t>
        </is>
      </c>
      <c r="C280" s="44" t="n"/>
      <c r="D280" s="28" t="n"/>
      <c r="E280" s="28" t="n"/>
      <c r="F280" t="n">
        <v>1</v>
      </c>
    </row>
    <row r="282" ht="24" customHeight="1">
      <c r="A282" s="42" t="inlineStr">
        <is>
          <t>13. Q4 GOALS  (Oct 1 – Dec 31)</t>
        </is>
      </c>
    </row>
    <row r="283" ht="28" customHeight="1">
      <c r="A283" s="45" t="inlineStr">
        <is>
          <t>These goals feed your Weekly Scorecard — progress is tracked against them automatically.</t>
        </is>
      </c>
    </row>
    <row r="284">
      <c r="B284" s="43" t="inlineStr">
        <is>
          <t>Commercial Transaction Volume Goal ($)</t>
        </is>
      </c>
      <c r="C284" s="56" t="n"/>
      <c r="D284" s="28" t="n"/>
      <c r="E284" s="28" t="n"/>
      <c r="F284" t="n">
        <v>1</v>
      </c>
    </row>
    <row r="285">
      <c r="B285" s="43" t="inlineStr">
        <is>
          <t>Commercial GCI Goal ($)</t>
        </is>
      </c>
      <c r="C285" s="56" t="n"/>
      <c r="D285" s="28" t="n"/>
      <c r="E285" s="28" t="n"/>
      <c r="F285" t="n">
        <v>1</v>
      </c>
    </row>
    <row r="286">
      <c r="B286" s="43" t="inlineStr">
        <is>
          <t>Number of Closings</t>
        </is>
      </c>
      <c r="C286" s="44" t="n"/>
      <c r="D286" s="28" t="n"/>
      <c r="E286" s="28" t="n"/>
      <c r="F286" t="n">
        <v>1</v>
      </c>
    </row>
    <row r="287">
      <c r="B287" s="43" t="inlineStr">
        <is>
          <t>New Listings</t>
        </is>
      </c>
      <c r="C287" s="44" t="n"/>
      <c r="D287" s="28" t="n"/>
      <c r="E287" s="28" t="n"/>
      <c r="F287" t="n">
        <v>1</v>
      </c>
    </row>
    <row r="288">
      <c r="B288" s="43" t="inlineStr">
        <is>
          <t>New Buyer / Tenant Assignments</t>
        </is>
      </c>
      <c r="C288" s="44" t="n"/>
      <c r="D288" s="28" t="n"/>
      <c r="E288" s="28" t="n"/>
      <c r="F288" t="n">
        <v>1</v>
      </c>
    </row>
    <row r="289">
      <c r="B289" s="43" t="inlineStr">
        <is>
          <t>Qualified Opportunities Created</t>
        </is>
      </c>
      <c r="C289" s="44" t="n"/>
      <c r="D289" s="28" t="n"/>
      <c r="E289" s="28" t="n"/>
      <c r="F289" t="n">
        <v>1</v>
      </c>
    </row>
    <row r="290">
      <c r="B290" s="43" t="inlineStr">
        <is>
          <t>Meetings Per Month</t>
        </is>
      </c>
      <c r="C290" s="44" t="n"/>
      <c r="D290" s="28" t="n"/>
      <c r="E290" s="28" t="n"/>
      <c r="F290" t="n">
        <v>1</v>
      </c>
    </row>
    <row r="291" ht="48" customHeight="1">
      <c r="B291" s="43" t="inlineStr">
        <is>
          <t>The three most important things you want to accomplish before December 31:</t>
        </is>
      </c>
      <c r="C291" s="44" t="n"/>
      <c r="D291" s="28" t="n"/>
      <c r="E291" s="28" t="n"/>
      <c r="F291" t="n">
        <v>1</v>
      </c>
    </row>
    <row r="293" ht="24" customHeight="1">
      <c r="A293" s="42" t="inlineStr">
        <is>
          <t>14. 2027 GOALS</t>
        </is>
      </c>
    </row>
    <row r="294">
      <c r="B294" s="43" t="inlineStr">
        <is>
          <t>2027 Commercial Volume Goal ($)</t>
        </is>
      </c>
      <c r="C294" s="56" t="n"/>
      <c r="D294" s="28" t="n"/>
      <c r="E294" s="28" t="n"/>
      <c r="F294" t="n">
        <v>1</v>
      </c>
    </row>
    <row r="295">
      <c r="B295" s="43" t="inlineStr">
        <is>
          <t>2027 Commercial GCI Goal ($)</t>
        </is>
      </c>
      <c r="C295" s="56" t="n"/>
      <c r="D295" s="28" t="n"/>
      <c r="E295" s="28" t="n"/>
      <c r="F295" t="n">
        <v>1</v>
      </c>
    </row>
    <row r="296">
      <c r="B296" s="43" t="inlineStr">
        <is>
          <t>Transactions Closed</t>
        </is>
      </c>
      <c r="C296" s="44" t="n"/>
      <c r="D296" s="28" t="n"/>
      <c r="E296" s="28" t="n"/>
      <c r="F296" t="n">
        <v>1</v>
      </c>
    </row>
    <row r="297">
      <c r="B297" s="43" t="inlineStr">
        <is>
          <t>Listings Obtained</t>
        </is>
      </c>
      <c r="C297" s="44" t="n"/>
      <c r="D297" s="28" t="n"/>
      <c r="E297" s="28" t="n"/>
      <c r="F297" t="n">
        <v>1</v>
      </c>
    </row>
    <row r="298">
      <c r="B298" s="43" t="inlineStr">
        <is>
          <t>Primary Geography</t>
        </is>
      </c>
      <c r="C298" s="44" t="n"/>
      <c r="D298" s="28" t="n"/>
      <c r="E298" s="28" t="n"/>
      <c r="F298" t="n">
        <v>1</v>
      </c>
    </row>
    <row r="299">
      <c r="B299" s="43" t="inlineStr">
        <is>
          <t>Primary Product Type</t>
        </is>
      </c>
      <c r="C299" s="44" t="n"/>
      <c r="D299" s="28" t="n"/>
      <c r="E299" s="28" t="n"/>
      <c r="F299" t="n">
        <v>1</v>
      </c>
    </row>
    <row r="300">
      <c r="B300" s="43" t="inlineStr">
        <is>
          <t>What % of your business would you LIKE to be commercial by the end of 2027?</t>
        </is>
      </c>
      <c r="C300" s="57" t="n"/>
      <c r="D300" s="28" t="n"/>
      <c r="E300" s="28" t="n"/>
      <c r="F300" t="n">
        <v>1</v>
      </c>
    </row>
    <row r="301" ht="48" customHeight="1">
      <c r="B301" s="43" t="inlineStr">
        <is>
          <t>What would a successful 2027 look like to you?</t>
        </is>
      </c>
      <c r="C301" s="44" t="n"/>
      <c r="D301" s="28" t="n"/>
      <c r="E301" s="28" t="n"/>
      <c r="F301" t="n">
        <v>1</v>
      </c>
    </row>
    <row r="302" ht="48" customHeight="1">
      <c r="B302" s="43" t="inlineStr">
        <is>
          <t>What would need to change between now and then for that to happen?</t>
        </is>
      </c>
      <c r="C302" s="44" t="n"/>
      <c r="D302" s="28" t="n"/>
      <c r="E302" s="28" t="n"/>
      <c r="F302" t="n">
        <v>1</v>
      </c>
    </row>
    <row r="304" ht="24" customHeight="1">
      <c r="A304" s="42" t="inlineStr">
        <is>
          <t>15. YOUR NEXT 90 DAYS</t>
        </is>
      </c>
    </row>
    <row r="305" ht="48" customHeight="1">
      <c r="B305" s="43" t="inlineStr">
        <is>
          <t>One thing I need to STOP doing:</t>
        </is>
      </c>
      <c r="C305" s="44" t="n"/>
      <c r="D305" s="28" t="n"/>
      <c r="E305" s="28" t="n"/>
      <c r="F305" t="n">
        <v>1</v>
      </c>
    </row>
    <row r="306" ht="48" customHeight="1">
      <c r="B306" s="43" t="inlineStr">
        <is>
          <t>One thing I need to START doing:</t>
        </is>
      </c>
      <c r="C306" s="44" t="n"/>
      <c r="D306" s="28" t="n"/>
      <c r="E306" s="28" t="n"/>
      <c r="F306" t="n">
        <v>1</v>
      </c>
    </row>
    <row r="307" ht="48" customHeight="1">
      <c r="B307" s="43" t="inlineStr">
        <is>
          <t>One thing I need to CONTINUE doing:</t>
        </is>
      </c>
      <c r="C307" s="44" t="n"/>
      <c r="D307" s="28" t="n"/>
      <c r="E307" s="28" t="n"/>
      <c r="F307" t="n">
        <v>1</v>
      </c>
    </row>
    <row r="308" ht="48" customHeight="1">
      <c r="B308" s="43" t="inlineStr">
        <is>
          <t>My primary prospecting strategy will be:</t>
        </is>
      </c>
      <c r="C308" s="44" t="n"/>
      <c r="D308" s="28" t="n"/>
      <c r="E308" s="28" t="n"/>
      <c r="F308" t="n">
        <v>1</v>
      </c>
    </row>
    <row r="309" ht="48" customHeight="1">
      <c r="B309" s="43" t="inlineStr">
        <is>
          <t>My primary market / product focus will be:</t>
        </is>
      </c>
      <c r="C309" s="44" t="n"/>
      <c r="D309" s="28" t="n"/>
      <c r="E309" s="28" t="n"/>
      <c r="F309" t="n">
        <v>1</v>
      </c>
    </row>
    <row r="310" ht="48" customHeight="1">
      <c r="B310" s="43" t="inlineStr">
        <is>
          <t>The biggest improvement I want to make over the next 90 days is:</t>
        </is>
      </c>
      <c r="C310" s="44" t="n"/>
      <c r="D310" s="28" t="n"/>
      <c r="E310" s="28" t="n"/>
      <c r="F310" t="n">
        <v>1</v>
      </c>
    </row>
    <row r="311" ht="48" customHeight="1">
      <c r="B311" s="43" t="inlineStr">
        <is>
          <t>One commitment I am making to myself before our next meeting:</t>
        </is>
      </c>
      <c r="C311" s="44" t="n"/>
      <c r="D311" s="28" t="n"/>
      <c r="E311" s="28" t="n"/>
      <c r="F311" t="n">
        <v>1</v>
      </c>
    </row>
  </sheetData>
  <mergeCells count="123">
    <mergeCell ref="C44:E44"/>
    <mergeCell ref="C255:E255"/>
    <mergeCell ref="C80:E80"/>
    <mergeCell ref="A1:E1"/>
    <mergeCell ref="C192:E192"/>
    <mergeCell ref="C51:E51"/>
    <mergeCell ref="C297:E297"/>
    <mergeCell ref="C299:E299"/>
    <mergeCell ref="C7:E7"/>
    <mergeCell ref="A282:E282"/>
    <mergeCell ref="C155:E155"/>
    <mergeCell ref="C307:E307"/>
    <mergeCell ref="C18:E18"/>
    <mergeCell ref="C49:E49"/>
    <mergeCell ref="C285:E285"/>
    <mergeCell ref="A194:E194"/>
    <mergeCell ref="C77:E77"/>
    <mergeCell ref="C157:E157"/>
    <mergeCell ref="C151:E151"/>
    <mergeCell ref="C284:E284"/>
    <mergeCell ref="C74:E74"/>
    <mergeCell ref="A293:E293"/>
    <mergeCell ref="C309:E309"/>
    <mergeCell ref="D148:E148"/>
    <mergeCell ref="C20:E20"/>
    <mergeCell ref="C112:E112"/>
    <mergeCell ref="A83:E83"/>
    <mergeCell ref="C75:E75"/>
    <mergeCell ref="C311:E311"/>
    <mergeCell ref="C130:E130"/>
    <mergeCell ref="C12:E12"/>
    <mergeCell ref="C295:E295"/>
    <mergeCell ref="C46:E46"/>
    <mergeCell ref="C52:E52"/>
    <mergeCell ref="C70:E70"/>
    <mergeCell ref="C159:E159"/>
    <mergeCell ref="C48:E48"/>
    <mergeCell ref="C81:E81"/>
    <mergeCell ref="C38:E38"/>
    <mergeCell ref="C296:E296"/>
    <mergeCell ref="C131:E131"/>
    <mergeCell ref="C298:E298"/>
    <mergeCell ref="A5:E5"/>
    <mergeCell ref="A14:E14"/>
    <mergeCell ref="C116:E116"/>
    <mergeCell ref="C156:E156"/>
    <mergeCell ref="C79:E79"/>
    <mergeCell ref="C73:E73"/>
    <mergeCell ref="D129:E129"/>
    <mergeCell ref="D252:E252"/>
    <mergeCell ref="C302:E302"/>
    <mergeCell ref="A40:E40"/>
    <mergeCell ref="C10:E10"/>
    <mergeCell ref="C16:E16"/>
    <mergeCell ref="C305:E305"/>
    <mergeCell ref="C50:E50"/>
    <mergeCell ref="C173:E173"/>
    <mergeCell ref="C286:E286"/>
    <mergeCell ref="C301:E301"/>
    <mergeCell ref="C9:E9"/>
    <mergeCell ref="A228:E228"/>
    <mergeCell ref="C115:E115"/>
    <mergeCell ref="C300:E300"/>
    <mergeCell ref="C11:E11"/>
    <mergeCell ref="C278:E278"/>
    <mergeCell ref="C287:E287"/>
    <mergeCell ref="C150:E150"/>
    <mergeCell ref="A84:E84"/>
    <mergeCell ref="C158:E158"/>
    <mergeCell ref="C67:E67"/>
    <mergeCell ref="C289:E289"/>
    <mergeCell ref="C190:E190"/>
    <mergeCell ref="D171:E171"/>
    <mergeCell ref="A2:E2"/>
    <mergeCell ref="C69:E69"/>
    <mergeCell ref="C254:E254"/>
    <mergeCell ref="C78:E78"/>
    <mergeCell ref="C6:E6"/>
    <mergeCell ref="C191:E191"/>
    <mergeCell ref="C225:E225"/>
    <mergeCell ref="A72:E72"/>
    <mergeCell ref="A134:E134"/>
    <mergeCell ref="C172:E172"/>
    <mergeCell ref="C306:E306"/>
    <mergeCell ref="A176:E176"/>
    <mergeCell ref="A114:E114"/>
    <mergeCell ref="C226:E226"/>
    <mergeCell ref="A15:E15"/>
    <mergeCell ref="C277:E277"/>
    <mergeCell ref="A257:E257"/>
    <mergeCell ref="A304:E304"/>
    <mergeCell ref="C291:E291"/>
    <mergeCell ref="C43:E43"/>
    <mergeCell ref="C188:E188"/>
    <mergeCell ref="C76:E76"/>
    <mergeCell ref="C132:E132"/>
    <mergeCell ref="C110:E110"/>
    <mergeCell ref="A177:E177"/>
    <mergeCell ref="A41:E41"/>
    <mergeCell ref="C8:E8"/>
    <mergeCell ref="A283:E283"/>
    <mergeCell ref="C17:E17"/>
    <mergeCell ref="C253:E253"/>
    <mergeCell ref="C174:E174"/>
    <mergeCell ref="C149:E149"/>
    <mergeCell ref="A154:E154"/>
    <mergeCell ref="C280:E280"/>
    <mergeCell ref="C66:E66"/>
    <mergeCell ref="C308:E308"/>
    <mergeCell ref="C19:E19"/>
    <mergeCell ref="C189:E189"/>
    <mergeCell ref="A195:E195"/>
    <mergeCell ref="C111:E111"/>
    <mergeCell ref="C68:E68"/>
    <mergeCell ref="C310:E310"/>
    <mergeCell ref="C279:E279"/>
    <mergeCell ref="C288:E288"/>
    <mergeCell ref="C294:E294"/>
    <mergeCell ref="C45:E45"/>
    <mergeCell ref="C290:E290"/>
    <mergeCell ref="C152:E152"/>
    <mergeCell ref="C109:E109"/>
    <mergeCell ref="C47:E47"/>
  </mergeCells>
  <dataValidations count="20">
    <dataValidation sqref="C9" showDropDown="0" showInputMessage="0" showErrorMessage="0" allowBlank="1" type="list">
      <formula1>"Primarily Commercial,Primarily Residential,Mix of Commercial and Residential,New to Real Estate,Building My Commercial Business,Other"</formula1>
    </dataValidation>
    <dataValidation sqref="C11" showDropDown="0" showInputMessage="0" showErrorMessage="0" allowBlank="1" type="list">
      <formula1>"Yes,No,Transitioning toward it"</formula1>
    </dataValidation>
    <dataValidation sqref="C20" showDropDown="0" showInputMessage="0" showErrorMessage="0" allowBlank="1" type="list">
      <formula1>"Yes,Somewhat,No"</formula1>
    </dataValidation>
    <dataValidation sqref="C23:C29" showDropDown="0" showInputMessage="0" showErrorMessage="0" allowBlank="1" type="list">
      <formula1>"Yes,No"</formula1>
    </dataValidation>
    <dataValidation sqref="C73" showDropDown="0" showInputMessage="0" showErrorMessage="0" allowBlank="1" type="list">
      <formula1>"Almost always,Sometimes,Rarely,Never"</formula1>
    </dataValidation>
    <dataValidation sqref="C74" showDropDown="0" showInputMessage="0" showErrorMessage="0" allowBlank="1" type="list">
      <formula1>"Yes,Somewhat,No"</formula1>
    </dataValidation>
    <dataValidation sqref="C75" showDropDown="0" showInputMessage="0" showErrorMessage="0" allowBlank="1" type="list">
      <formula1>"Yes,Sometimes,No"</formula1>
    </dataValidation>
    <dataValidation sqref="C86:C108" showDropDown="0" showInputMessage="0" showErrorMessage="0" allowBlank="1" type="list">
      <formula1>"0,1,2,3,4,5"</formula1>
    </dataValidation>
    <dataValidation sqref="D86:D108" showDropDown="0" showInputMessage="0" showErrorMessage="0" allowBlank="1" type="list">
      <formula1>"Yes,No"</formula1>
    </dataValidation>
    <dataValidation sqref="C116" showDropDown="0" showInputMessage="0" showErrorMessage="0" allowBlank="1" type="list">
      <formula1>"Very few,Some,Most,Nearly all,Unsure"</formula1>
    </dataValidation>
    <dataValidation sqref="C118:C129" showDropDown="0" showInputMessage="0" showErrorMessage="0" allowBlank="1" type="list">
      <formula1>"Yes,No"</formula1>
    </dataValidation>
    <dataValidation sqref="C136:C148" showDropDown="0" showInputMessage="0" showErrorMessage="0" allowBlank="1" type="list">
      <formula1>"Yes,No"</formula1>
    </dataValidation>
    <dataValidation sqref="C150" showDropDown="0" showInputMessage="0" showErrorMessage="0" allowBlank="1" type="list">
      <formula1>"Weekly,Monthly,Quarterly,Occasionally,Almost never"</formula1>
    </dataValidation>
    <dataValidation sqref="C155" showDropDown="0" showInputMessage="0" showErrorMessage="0" allowBlank="1" type="list">
      <formula1>"Yes,Somewhat,No,Still determining it"</formula1>
    </dataValidation>
    <dataValidation sqref="C156" showDropDown="0" showInputMessage="0" showErrorMessage="0" allowBlank="1" type="list">
      <formula1>"Yes,No"</formula1>
    </dataValidation>
    <dataValidation sqref="C161:C171" showDropDown="0" showInputMessage="0" showErrorMessage="0" allowBlank="1" type="list">
      <formula1>"Yes,No"</formula1>
    </dataValidation>
    <dataValidation sqref="C192" showDropDown="0" showInputMessage="0" showErrorMessage="0" allowBlank="1" type="list">
      <formula1>"Yes,Approximately,No"</formula1>
    </dataValidation>
    <dataValidation sqref="C197:C224" showDropDown="0" showInputMessage="0" showErrorMessage="0" allowBlank="1" type="list">
      <formula1>"1,2,3,4,5"</formula1>
    </dataValidation>
    <dataValidation sqref="C230:C252" showDropDown="0" showInputMessage="0" showErrorMessage="0" allowBlank="1" type="list">
      <formula1>"Yes,No"</formula1>
    </dataValidation>
    <dataValidation sqref="C259:C2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Z8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  <col width="12" customWidth="1" min="15" max="15"/>
    <col width="9" customWidth="1" min="16" max="16"/>
    <col width="10" customWidth="1" min="17" max="17"/>
    <col width="9" customWidth="1" min="18" max="18"/>
    <col width="13" customWidth="1" min="19" max="19"/>
    <col width="12" customWidth="1" min="20" max="20"/>
    <col width="14" customWidth="1" min="21" max="21"/>
    <col width="30" customWidth="1" min="22" max="22"/>
    <col width="30" customWidth="1" min="23" max="23"/>
    <col width="30" customWidth="1" min="24" max="24"/>
    <col width="17" customWidth="1" min="25" max="25"/>
    <col width="12" customWidth="1" min="26" max="26"/>
  </cols>
  <sheetData>
    <row r="1" ht="34" customHeight="1">
      <c r="A1" s="1">
        <f>IF('Settings'!B16="","Agent 3",'Settings'!B16)&amp;" — Weekly Score Card"</f>
        <v/>
      </c>
    </row>
    <row r="2" ht="30" customHeight="1">
      <c r="A2" s="5" t="inlineStr">
        <is>
          <t>Fill in your row for the current week by Friday end of day (yellow cells). Estimates are fine. “Follow-Ups Outstanding” and “Pipeline Potential GCI” are snapshots as of the end of the week; everything else is what happened that week. Q4 progress below updates automatically.</t>
        </is>
      </c>
    </row>
    <row r="4">
      <c r="A4" s="30" t="inlineStr">
        <is>
          <t>Q4 2026 PROGRESS  (goals come from Section 13 of your Assessment)</t>
        </is>
      </c>
      <c r="H4" s="2" t="inlineStr">
        <is>
          <t>ACCOUNTABILITY</t>
        </is>
      </c>
    </row>
    <row r="5">
      <c r="A5" s="8" t="inlineStr">
        <is>
          <t>Metric</t>
        </is>
      </c>
      <c r="B5" s="31" t="n"/>
      <c r="C5" s="8" t="inlineStr">
        <is>
          <t>Q4 Goal</t>
        </is>
      </c>
      <c r="D5" s="8" t="inlineStr">
        <is>
          <t>Q4 Actual</t>
        </is>
      </c>
      <c r="E5" s="8" t="inlineStr">
        <is>
          <t>% to Goal</t>
        </is>
      </c>
      <c r="F5" s="8" t="inlineStr">
        <is>
          <t>On Pace?</t>
        </is>
      </c>
      <c r="H5" s="3" t="inlineStr">
        <is>
          <t>Weeks updated</t>
        </is>
      </c>
      <c r="K5" s="32">
        <f>COUNTIFS($A$15:$A$80,"&lt;="&amp;TODAY(),$Y$15:$Y$80,"&lt;&gt;")</f>
        <v/>
      </c>
    </row>
    <row r="6">
      <c r="A6" s="33" t="inlineStr">
        <is>
          <t>Commercial GCI</t>
        </is>
      </c>
      <c r="B6" s="34" t="n"/>
      <c r="C6" s="12">
        <f>IF('Agent 3 Assessment'!C285="","",'Agent 3 Assessment'!C285)</f>
        <v/>
      </c>
      <c r="D6" s="12">
        <f>SUMIFS($T$15:$T$80,$A$15:$A$80,"&gt;="&amp;DATE(2026,9,28),$A$15:$A$80,"&lt;="&amp;DATE(2026,12,31))</f>
        <v/>
      </c>
      <c r="E6" s="10">
        <f>IFERROR(D6/C6,"")</f>
        <v/>
      </c>
      <c r="F6" s="11">
        <f>IF(C6="","Set goal",IF(D6&gt;=C6*MAX(0,MIN(1,(TODAY()-DATE(2026,10,1))/(DATE(2026,12,31)-DATE(2026,10,1)))),"On pace","Behind"))</f>
        <v/>
      </c>
      <c r="H6" s="3" t="inlineStr">
        <is>
          <t>Weeks elapsed</t>
        </is>
      </c>
      <c r="K6" s="32">
        <f>COUNTIFS($A$15:$A$80,"&lt;="&amp;TODAY())</f>
        <v/>
      </c>
    </row>
    <row r="7">
      <c r="A7" s="33" t="inlineStr">
        <is>
          <t>Transaction Volume</t>
        </is>
      </c>
      <c r="B7" s="34" t="n"/>
      <c r="C7" s="12">
        <f>IF('Agent 3 Assessment'!C284="","",'Agent 3 Assessment'!C284)</f>
        <v/>
      </c>
      <c r="D7" s="12">
        <f>SUMIFS($S$15:$S$80,$A$15:$A$80,"&gt;="&amp;DATE(2026,9,28),$A$15:$A$80,"&lt;="&amp;DATE(2026,12,31))</f>
        <v/>
      </c>
      <c r="E7" s="10">
        <f>IFERROR(D7/C7,"")</f>
        <v/>
      </c>
      <c r="F7" s="11">
        <f>IF(C7="","Set goal",IF(D7&gt;=C7*MAX(0,MIN(1,(TODAY()-DATE(2026,10,1))/(DATE(2026,12,31)-DATE(2026,10,1)))),"On pace","Behind"))</f>
        <v/>
      </c>
      <c r="H7" s="3" t="inlineStr">
        <is>
          <t>Consistency</t>
        </is>
      </c>
      <c r="K7" s="17">
        <f>IFERROR(K5/K6,0)</f>
        <v/>
      </c>
    </row>
    <row r="8">
      <c r="A8" s="33" t="inlineStr">
        <is>
          <t>Closings</t>
        </is>
      </c>
      <c r="B8" s="34" t="n"/>
      <c r="C8" s="11">
        <f>IF('Agent 3 Assessment'!C286="","",'Agent 3 Assessment'!C286)</f>
        <v/>
      </c>
      <c r="D8" s="11">
        <f>SUMIFS($R$15:$R$80,$A$15:$A$80,"&gt;="&amp;DATE(2026,9,28),$A$15:$A$80,"&lt;="&amp;DATE(2026,12,31))</f>
        <v/>
      </c>
      <c r="E8" s="10">
        <f>IFERROR(D8/C8,"")</f>
        <v/>
      </c>
      <c r="F8" s="11">
        <f>IF(C8="","Set goal",IF(D8&gt;=C8*MAX(0,MIN(1,(TODAY()-DATE(2026,10,1))/(DATE(2026,12,31)-DATE(2026,10,1)))),"On pace","Behind"))</f>
        <v/>
      </c>
      <c r="H8" s="3" t="inlineStr">
        <is>
          <t>Avg calls / week</t>
        </is>
      </c>
      <c r="K8" s="20">
        <f>IFERROR(AVERAGEIFS($F$15:$F$80,$A$15:$A$80,"&lt;="&amp;TODAY(),$F$15:$F$80,"&lt;&gt;"),0)</f>
        <v/>
      </c>
    </row>
    <row r="9">
      <c r="A9" s="33" t="inlineStr">
        <is>
          <t>New Listings</t>
        </is>
      </c>
      <c r="B9" s="34" t="n"/>
      <c r="C9" s="11">
        <f>IF('Agent 3 Assessment'!C287="","",'Agent 3 Assessment'!C287)</f>
        <v/>
      </c>
      <c r="D9" s="11">
        <f>SUMIFS($N$15:$N$80,$A$15:$A$80,"&gt;="&amp;DATE(2026,9,28),$A$15:$A$80,"&lt;="&amp;DATE(2026,12,31))</f>
        <v/>
      </c>
      <c r="E9" s="10">
        <f>IFERROR(D9/C9,"")</f>
        <v/>
      </c>
      <c r="F9" s="11">
        <f>IF(C9="","Set goal",IF(D9&gt;=C9*MAX(0,MIN(1,(TODAY()-DATE(2026,10,1))/(DATE(2026,12,31)-DATE(2026,10,1)))),"On pace","Behind"))</f>
        <v/>
      </c>
      <c r="H9" s="3" t="inlineStr">
        <is>
          <t>Avg meetings / week</t>
        </is>
      </c>
      <c r="K9" s="20">
        <f>IFERROR(AVERAGEIFS($H$15:$H$80,$A$15:$A$80,"&lt;="&amp;TODAY(),$H$15:$H$80,"&lt;&gt;"),0)</f>
        <v/>
      </c>
    </row>
    <row r="10">
      <c r="A10" s="33" t="inlineStr">
        <is>
          <t>New Buyer / Tenant Assignments</t>
        </is>
      </c>
      <c r="B10" s="34" t="n"/>
      <c r="C10" s="11">
        <f>IF('Agent 3 Assessment'!C288="","",'Agent 3 Assessment'!C288)</f>
        <v/>
      </c>
      <c r="D10" s="11">
        <f>SUMIFS($O$15:$O$80,$A$15:$A$80,"&gt;="&amp;DATE(2026,9,28),$A$15:$A$80,"&lt;="&amp;DATE(2026,12,31))</f>
        <v/>
      </c>
      <c r="E10" s="10">
        <f>IFERROR(D10/C10,"")</f>
        <v/>
      </c>
      <c r="F10" s="11">
        <f>IF(C10="","Set goal",IF(D10&gt;=C10*MAX(0,MIN(1,(TODAY()-DATE(2026,10,1))/(DATE(2026,12,31)-DATE(2026,10,1)))),"On pace","Behind"))</f>
        <v/>
      </c>
      <c r="H10" s="3" t="inlineStr">
        <is>
          <t>Latest pipeline GCI</t>
        </is>
      </c>
      <c r="K10" s="19">
        <f>IFERROR(INDEX($U$15:$U$80,MATCH(1E+100,$U$15:$U$80)),"")</f>
        <v/>
      </c>
    </row>
    <row r="11">
      <c r="A11" s="33" t="inlineStr">
        <is>
          <t>Qualified Opportunities Created</t>
        </is>
      </c>
      <c r="B11" s="34" t="n"/>
      <c r="C11" s="11">
        <f>IF('Agent 3 Assessment'!C289="","",'Agent 3 Assessment'!C289)</f>
        <v/>
      </c>
      <c r="D11" s="11">
        <f>SUMIFS($I$15:$I$80,$A$15:$A$80,"&gt;="&amp;DATE(2026,9,28),$A$15:$A$80,"&lt;="&amp;DATE(2026,12,31))</f>
        <v/>
      </c>
      <c r="E11" s="10">
        <f>IFERROR(D11/C11,"")</f>
        <v/>
      </c>
      <c r="F11" s="11">
        <f>IF(C11="","Set goal",IF(D11&gt;=C11*MAX(0,MIN(1,(TODAY()-DATE(2026,10,1))/(DATE(2026,12,31)-DATE(2026,10,1)))),"On pace","Behind"))</f>
        <v/>
      </c>
      <c r="H11" s="3" t="inlineStr">
        <is>
          <t>Assessment complete</t>
        </is>
      </c>
      <c r="K11" s="17">
        <f>'Agent 3 Assessment'!C3</f>
        <v/>
      </c>
    </row>
    <row r="12">
      <c r="A12" s="33" t="inlineStr">
        <is>
          <t>Meetings (goal = per month × 3)</t>
        </is>
      </c>
      <c r="B12" s="34" t="n"/>
      <c r="C12" s="11">
        <f>IF('Agent 3 Assessment'!C290="","",'Agent 3 Assessment'!C290*3)</f>
        <v/>
      </c>
      <c r="D12" s="11">
        <f>SUMIFS($H$15:$H$80,$A$15:$A$80,"&gt;="&amp;DATE(2026,9,28),$A$15:$A$80,"&lt;="&amp;DATE(2026,12,31))</f>
        <v/>
      </c>
      <c r="E12" s="10">
        <f>IFERROR(D12/C12,"")</f>
        <v/>
      </c>
      <c r="F12" s="11">
        <f>IF(C12="","Set goal",IF(D12&gt;=C12*MAX(0,MIN(1,(TODAY()-DATE(2026,10,1))/(DATE(2026,12,31)-DATE(2026,10,1)))),"On pace","Behind"))</f>
        <v/>
      </c>
    </row>
    <row r="14" ht="48" customHeight="1">
      <c r="A14" s="8" t="inlineStr">
        <is>
          <t>Week Of (Mon)</t>
        </is>
      </c>
      <c r="B14" s="8" t="inlineStr">
        <is>
          <t>Days Worked</t>
        </is>
      </c>
      <c r="C14" s="8" t="inlineStr">
        <is>
          <t>Total RE Hours</t>
        </is>
      </c>
      <c r="D14" s="8" t="inlineStr">
        <is>
          <t>Commercial Hours</t>
        </is>
      </c>
      <c r="E14" s="8" t="inlineStr">
        <is>
          <t>Prospecting Hours</t>
        </is>
      </c>
      <c r="F14" s="8" t="inlineStr">
        <is>
          <t>Calls / Outreach Attempts</t>
        </is>
      </c>
      <c r="G14" s="8" t="inlineStr">
        <is>
          <t>Decision-Maker Conversations</t>
        </is>
      </c>
      <c r="H14" s="8" t="inlineStr">
        <is>
          <t>Prospect / Client Meetings</t>
        </is>
      </c>
      <c r="I14" s="8" t="inlineStr">
        <is>
          <t>New Opportunities Created</t>
        </is>
      </c>
      <c r="J14" s="8" t="inlineStr">
        <is>
          <t>New Database Contacts</t>
        </is>
      </c>
      <c r="K14" s="8" t="inlineStr">
        <is>
          <t>Follow-Ups Outstanding</t>
        </is>
      </c>
      <c r="L14" s="8" t="inlineStr">
        <is>
          <t>Market Center Agent Conversations</t>
        </is>
      </c>
      <c r="M14" s="8" t="inlineStr">
        <is>
          <t>Sphere Touches</t>
        </is>
      </c>
      <c r="N14" s="8" t="inlineStr">
        <is>
          <t>New Listings</t>
        </is>
      </c>
      <c r="O14" s="8" t="inlineStr">
        <is>
          <t>New Buyer / Tenant Assignments</t>
        </is>
      </c>
      <c r="P14" s="8" t="inlineStr">
        <is>
          <t>LOIs Submitted</t>
        </is>
      </c>
      <c r="Q14" s="8" t="inlineStr">
        <is>
          <t>Went Under Contract</t>
        </is>
      </c>
      <c r="R14" s="8" t="inlineStr">
        <is>
          <t>Closings</t>
        </is>
      </c>
      <c r="S14" s="8" t="inlineStr">
        <is>
          <t>Volume Closed ($)</t>
        </is>
      </c>
      <c r="T14" s="8" t="inlineStr">
        <is>
          <t>GCI Closed ($)</t>
        </is>
      </c>
      <c r="U14" s="8" t="inlineStr">
        <is>
          <t>Pipeline Potential GCI ($)</t>
        </is>
      </c>
      <c r="V14" s="8" t="inlineStr">
        <is>
          <t>Win of the Week</t>
        </is>
      </c>
      <c r="W14" s="8" t="inlineStr">
        <is>
          <t>Biggest Obstacle</t>
        </is>
      </c>
      <c r="X14" s="8" t="inlineStr">
        <is>
          <t>#1 Focus Next Week</t>
        </is>
      </c>
      <c r="Y14" s="8" t="inlineStr">
        <is>
          <t>Last Updated (auto)</t>
        </is>
      </c>
      <c r="Z14" s="8" t="inlineStr">
        <is>
          <t>Status</t>
        </is>
      </c>
    </row>
    <row r="15">
      <c r="A15" s="35" t="n">
        <v>46293</v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7" t="n"/>
      <c r="T15" s="37" t="n"/>
      <c r="U15" s="37" t="n"/>
      <c r="V15" s="38" t="n"/>
      <c r="W15" s="38" t="n"/>
      <c r="X15" s="38" t="n"/>
      <c r="Y15" s="39" t="n"/>
      <c r="Z15" s="11">
        <f>IF(A15&gt;TODAY(),"Upcoming",IF(Y15&lt;&gt;"","✓ Updated",IF(A15+6&gt;=TODAY(),"Due Friday","⚠ Missing")))</f>
        <v/>
      </c>
    </row>
    <row r="16">
      <c r="A16" s="35" t="n">
        <v>46300</v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7" t="n"/>
      <c r="T16" s="37" t="n"/>
      <c r="U16" s="37" t="n"/>
      <c r="V16" s="38" t="n"/>
      <c r="W16" s="38" t="n"/>
      <c r="X16" s="38" t="n"/>
      <c r="Y16" s="39" t="n"/>
      <c r="Z16" s="11">
        <f>IF(A16&gt;TODAY(),"Upcoming",IF(Y16&lt;&gt;"","✓ Updated",IF(A16+6&gt;=TODAY(),"Due Friday","⚠ Missing")))</f>
        <v/>
      </c>
    </row>
    <row r="17">
      <c r="A17" s="35" t="n">
        <v>46307</v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7" t="n"/>
      <c r="T17" s="37" t="n"/>
      <c r="U17" s="37" t="n"/>
      <c r="V17" s="38" t="n"/>
      <c r="W17" s="38" t="n"/>
      <c r="X17" s="38" t="n"/>
      <c r="Y17" s="39" t="n"/>
      <c r="Z17" s="11">
        <f>IF(A17&gt;TODAY(),"Upcoming",IF(Y17&lt;&gt;"","✓ Updated",IF(A17+6&gt;=TODAY(),"Due Friday","⚠ Missing")))</f>
        <v/>
      </c>
    </row>
    <row r="18">
      <c r="A18" s="35" t="n">
        <v>46314</v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7" t="n"/>
      <c r="T18" s="37" t="n"/>
      <c r="U18" s="37" t="n"/>
      <c r="V18" s="38" t="n"/>
      <c r="W18" s="38" t="n"/>
      <c r="X18" s="38" t="n"/>
      <c r="Y18" s="39" t="n"/>
      <c r="Z18" s="11">
        <f>IF(A18&gt;TODAY(),"Upcoming",IF(Y18&lt;&gt;"","✓ Updated",IF(A18+6&gt;=TODAY(),"Due Friday","⚠ Missing")))</f>
        <v/>
      </c>
    </row>
    <row r="19">
      <c r="A19" s="35" t="n">
        <v>46321</v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7" t="n"/>
      <c r="T19" s="37" t="n"/>
      <c r="U19" s="37" t="n"/>
      <c r="V19" s="38" t="n"/>
      <c r="W19" s="38" t="n"/>
      <c r="X19" s="38" t="n"/>
      <c r="Y19" s="39" t="n"/>
      <c r="Z19" s="11">
        <f>IF(A19&gt;TODAY(),"Upcoming",IF(Y19&lt;&gt;"","✓ Updated",IF(A19+6&gt;=TODAY(),"Due Friday","⚠ Missing")))</f>
        <v/>
      </c>
    </row>
    <row r="20">
      <c r="A20" s="35" t="n">
        <v>46328</v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7" t="n"/>
      <c r="T20" s="37" t="n"/>
      <c r="U20" s="37" t="n"/>
      <c r="V20" s="38" t="n"/>
      <c r="W20" s="38" t="n"/>
      <c r="X20" s="38" t="n"/>
      <c r="Y20" s="39" t="n"/>
      <c r="Z20" s="11">
        <f>IF(A20&gt;TODAY(),"Upcoming",IF(Y20&lt;&gt;"","✓ Updated",IF(A20+6&gt;=TODAY(),"Due Friday","⚠ Missing")))</f>
        <v/>
      </c>
    </row>
    <row r="21">
      <c r="A21" s="35" t="n">
        <v>46335</v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7" t="n"/>
      <c r="T21" s="37" t="n"/>
      <c r="U21" s="37" t="n"/>
      <c r="V21" s="38" t="n"/>
      <c r="W21" s="38" t="n"/>
      <c r="X21" s="38" t="n"/>
      <c r="Y21" s="39" t="n"/>
      <c r="Z21" s="11">
        <f>IF(A21&gt;TODAY(),"Upcoming",IF(Y21&lt;&gt;"","✓ Updated",IF(A21+6&gt;=TODAY(),"Due Friday","⚠ Missing")))</f>
        <v/>
      </c>
    </row>
    <row r="22">
      <c r="A22" s="35" t="n">
        <v>46342</v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7" t="n"/>
      <c r="T22" s="37" t="n"/>
      <c r="U22" s="37" t="n"/>
      <c r="V22" s="38" t="n"/>
      <c r="W22" s="38" t="n"/>
      <c r="X22" s="38" t="n"/>
      <c r="Y22" s="39" t="n"/>
      <c r="Z22" s="11">
        <f>IF(A22&gt;TODAY(),"Upcoming",IF(Y22&lt;&gt;"","✓ Updated",IF(A22+6&gt;=TODAY(),"Due Friday","⚠ Missing")))</f>
        <v/>
      </c>
    </row>
    <row r="23">
      <c r="A23" s="35" t="n">
        <v>46349</v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7" t="n"/>
      <c r="T23" s="37" t="n"/>
      <c r="U23" s="37" t="n"/>
      <c r="V23" s="38" t="n"/>
      <c r="W23" s="38" t="n"/>
      <c r="X23" s="38" t="n"/>
      <c r="Y23" s="39" t="n"/>
      <c r="Z23" s="11">
        <f>IF(A23&gt;TODAY(),"Upcoming",IF(Y23&lt;&gt;"","✓ Updated",IF(A23+6&gt;=TODAY(),"Due Friday","⚠ Missing")))</f>
        <v/>
      </c>
    </row>
    <row r="24">
      <c r="A24" s="35" t="n">
        <v>46356</v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7" t="n"/>
      <c r="T24" s="37" t="n"/>
      <c r="U24" s="37" t="n"/>
      <c r="V24" s="38" t="n"/>
      <c r="W24" s="38" t="n"/>
      <c r="X24" s="38" t="n"/>
      <c r="Y24" s="39" t="n"/>
      <c r="Z24" s="11">
        <f>IF(A24&gt;TODAY(),"Upcoming",IF(Y24&lt;&gt;"","✓ Updated",IF(A24+6&gt;=TODAY(),"Due Friday","⚠ Missing")))</f>
        <v/>
      </c>
    </row>
    <row r="25">
      <c r="A25" s="35" t="n">
        <v>46363</v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7" t="n"/>
      <c r="T25" s="37" t="n"/>
      <c r="U25" s="37" t="n"/>
      <c r="V25" s="38" t="n"/>
      <c r="W25" s="38" t="n"/>
      <c r="X25" s="38" t="n"/>
      <c r="Y25" s="39" t="n"/>
      <c r="Z25" s="11">
        <f>IF(A25&gt;TODAY(),"Upcoming",IF(Y25&lt;&gt;"","✓ Updated",IF(A25+6&gt;=TODAY(),"Due Friday","⚠ Missing")))</f>
        <v/>
      </c>
    </row>
    <row r="26">
      <c r="A26" s="35" t="n">
        <v>46370</v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7" t="n"/>
      <c r="T26" s="37" t="n"/>
      <c r="U26" s="37" t="n"/>
      <c r="V26" s="38" t="n"/>
      <c r="W26" s="38" t="n"/>
      <c r="X26" s="38" t="n"/>
      <c r="Y26" s="39" t="n"/>
      <c r="Z26" s="11">
        <f>IF(A26&gt;TODAY(),"Upcoming",IF(Y26&lt;&gt;"","✓ Updated",IF(A26+6&gt;=TODAY(),"Due Friday","⚠ Missing")))</f>
        <v/>
      </c>
    </row>
    <row r="27">
      <c r="A27" s="35" t="n">
        <v>46377</v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7" t="n"/>
      <c r="T27" s="37" t="n"/>
      <c r="U27" s="37" t="n"/>
      <c r="V27" s="38" t="n"/>
      <c r="W27" s="38" t="n"/>
      <c r="X27" s="38" t="n"/>
      <c r="Y27" s="39" t="n"/>
      <c r="Z27" s="11">
        <f>IF(A27&gt;TODAY(),"Upcoming",IF(Y27&lt;&gt;"","✓ Updated",IF(A27+6&gt;=TODAY(),"Due Friday","⚠ Missing")))</f>
        <v/>
      </c>
    </row>
    <row r="28">
      <c r="A28" s="35" t="n">
        <v>46384</v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7" t="n"/>
      <c r="T28" s="37" t="n"/>
      <c r="U28" s="37" t="n"/>
      <c r="V28" s="38" t="n"/>
      <c r="W28" s="38" t="n"/>
      <c r="X28" s="38" t="n"/>
      <c r="Y28" s="39" t="n"/>
      <c r="Z28" s="11">
        <f>IF(A28&gt;TODAY(),"Upcoming",IF(Y28&lt;&gt;"","✓ Updated",IF(A28+6&gt;=TODAY(),"Due Friday","⚠ Missing")))</f>
        <v/>
      </c>
    </row>
    <row r="29">
      <c r="A29" s="35" t="n">
        <v>46391</v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7" t="n"/>
      <c r="T29" s="37" t="n"/>
      <c r="U29" s="37" t="n"/>
      <c r="V29" s="38" t="n"/>
      <c r="W29" s="38" t="n"/>
      <c r="X29" s="38" t="n"/>
      <c r="Y29" s="39" t="n"/>
      <c r="Z29" s="11">
        <f>IF(A29&gt;TODAY(),"Upcoming",IF(Y29&lt;&gt;"","✓ Updated",IF(A29+6&gt;=TODAY(),"Due Friday","⚠ Missing")))</f>
        <v/>
      </c>
    </row>
    <row r="30">
      <c r="A30" s="35" t="n">
        <v>46398</v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7" t="n"/>
      <c r="T30" s="37" t="n"/>
      <c r="U30" s="37" t="n"/>
      <c r="V30" s="38" t="n"/>
      <c r="W30" s="38" t="n"/>
      <c r="X30" s="38" t="n"/>
      <c r="Y30" s="39" t="n"/>
      <c r="Z30" s="11">
        <f>IF(A30&gt;TODAY(),"Upcoming",IF(Y30&lt;&gt;"","✓ Updated",IF(A30+6&gt;=TODAY(),"Due Friday","⚠ Missing")))</f>
        <v/>
      </c>
    </row>
    <row r="31">
      <c r="A31" s="35" t="n">
        <v>46405</v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7" t="n"/>
      <c r="T31" s="37" t="n"/>
      <c r="U31" s="37" t="n"/>
      <c r="V31" s="38" t="n"/>
      <c r="W31" s="38" t="n"/>
      <c r="X31" s="38" t="n"/>
      <c r="Y31" s="39" t="n"/>
      <c r="Z31" s="11">
        <f>IF(A31&gt;TODAY(),"Upcoming",IF(Y31&lt;&gt;"","✓ Updated",IF(A31+6&gt;=TODAY(),"Due Friday","⚠ Missing")))</f>
        <v/>
      </c>
    </row>
    <row r="32">
      <c r="A32" s="35" t="n">
        <v>46412</v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7" t="n"/>
      <c r="T32" s="37" t="n"/>
      <c r="U32" s="37" t="n"/>
      <c r="V32" s="38" t="n"/>
      <c r="W32" s="38" t="n"/>
      <c r="X32" s="38" t="n"/>
      <c r="Y32" s="39" t="n"/>
      <c r="Z32" s="11">
        <f>IF(A32&gt;TODAY(),"Upcoming",IF(Y32&lt;&gt;"","✓ Updated",IF(A32+6&gt;=TODAY(),"Due Friday","⚠ Missing")))</f>
        <v/>
      </c>
    </row>
    <row r="33">
      <c r="A33" s="35" t="n">
        <v>46419</v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7" t="n"/>
      <c r="T33" s="37" t="n"/>
      <c r="U33" s="37" t="n"/>
      <c r="V33" s="38" t="n"/>
      <c r="W33" s="38" t="n"/>
      <c r="X33" s="38" t="n"/>
      <c r="Y33" s="39" t="n"/>
      <c r="Z33" s="11">
        <f>IF(A33&gt;TODAY(),"Upcoming",IF(Y33&lt;&gt;"","✓ Updated",IF(A33+6&gt;=TODAY(),"Due Friday","⚠ Missing")))</f>
        <v/>
      </c>
    </row>
    <row r="34">
      <c r="A34" s="35" t="n">
        <v>46426</v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7" t="n"/>
      <c r="T34" s="37" t="n"/>
      <c r="U34" s="37" t="n"/>
      <c r="V34" s="38" t="n"/>
      <c r="W34" s="38" t="n"/>
      <c r="X34" s="38" t="n"/>
      <c r="Y34" s="39" t="n"/>
      <c r="Z34" s="11">
        <f>IF(A34&gt;TODAY(),"Upcoming",IF(Y34&lt;&gt;"","✓ Updated",IF(A34+6&gt;=TODAY(),"Due Friday","⚠ Missing")))</f>
        <v/>
      </c>
    </row>
    <row r="35">
      <c r="A35" s="35" t="n">
        <v>46433</v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7" t="n"/>
      <c r="T35" s="37" t="n"/>
      <c r="U35" s="37" t="n"/>
      <c r="V35" s="38" t="n"/>
      <c r="W35" s="38" t="n"/>
      <c r="X35" s="38" t="n"/>
      <c r="Y35" s="39" t="n"/>
      <c r="Z35" s="11">
        <f>IF(A35&gt;TODAY(),"Upcoming",IF(Y35&lt;&gt;"","✓ Updated",IF(A35+6&gt;=TODAY(),"Due Friday","⚠ Missing")))</f>
        <v/>
      </c>
    </row>
    <row r="36">
      <c r="A36" s="35" t="n">
        <v>46440</v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7" t="n"/>
      <c r="T36" s="37" t="n"/>
      <c r="U36" s="37" t="n"/>
      <c r="V36" s="38" t="n"/>
      <c r="W36" s="38" t="n"/>
      <c r="X36" s="38" t="n"/>
      <c r="Y36" s="39" t="n"/>
      <c r="Z36" s="11">
        <f>IF(A36&gt;TODAY(),"Upcoming",IF(Y36&lt;&gt;"","✓ Updated",IF(A36+6&gt;=TODAY(),"Due Friday","⚠ Missing")))</f>
        <v/>
      </c>
    </row>
    <row r="37">
      <c r="A37" s="35" t="n">
        <v>46447</v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7" t="n"/>
      <c r="T37" s="37" t="n"/>
      <c r="U37" s="37" t="n"/>
      <c r="V37" s="38" t="n"/>
      <c r="W37" s="38" t="n"/>
      <c r="X37" s="38" t="n"/>
      <c r="Y37" s="39" t="n"/>
      <c r="Z37" s="11">
        <f>IF(A37&gt;TODAY(),"Upcoming",IF(Y37&lt;&gt;"","✓ Updated",IF(A37+6&gt;=TODAY(),"Due Friday","⚠ Missing")))</f>
        <v/>
      </c>
    </row>
    <row r="38">
      <c r="A38" s="35" t="n">
        <v>46454</v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7" t="n"/>
      <c r="T38" s="37" t="n"/>
      <c r="U38" s="37" t="n"/>
      <c r="V38" s="38" t="n"/>
      <c r="W38" s="38" t="n"/>
      <c r="X38" s="38" t="n"/>
      <c r="Y38" s="39" t="n"/>
      <c r="Z38" s="11">
        <f>IF(A38&gt;TODAY(),"Upcoming",IF(Y38&lt;&gt;"","✓ Updated",IF(A38+6&gt;=TODAY(),"Due Friday","⚠ Missing")))</f>
        <v/>
      </c>
    </row>
    <row r="39">
      <c r="A39" s="35" t="n">
        <v>46461</v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7" t="n"/>
      <c r="T39" s="37" t="n"/>
      <c r="U39" s="37" t="n"/>
      <c r="V39" s="38" t="n"/>
      <c r="W39" s="38" t="n"/>
      <c r="X39" s="38" t="n"/>
      <c r="Y39" s="39" t="n"/>
      <c r="Z39" s="11">
        <f>IF(A39&gt;TODAY(),"Upcoming",IF(Y39&lt;&gt;"","✓ Updated",IF(A39+6&gt;=TODAY(),"Due Friday","⚠ Missing")))</f>
        <v/>
      </c>
    </row>
    <row r="40">
      <c r="A40" s="35" t="n">
        <v>46468</v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7" t="n"/>
      <c r="T40" s="37" t="n"/>
      <c r="U40" s="37" t="n"/>
      <c r="V40" s="38" t="n"/>
      <c r="W40" s="38" t="n"/>
      <c r="X40" s="38" t="n"/>
      <c r="Y40" s="39" t="n"/>
      <c r="Z40" s="11">
        <f>IF(A40&gt;TODAY(),"Upcoming",IF(Y40&lt;&gt;"","✓ Updated",IF(A40+6&gt;=TODAY(),"Due Friday","⚠ Missing")))</f>
        <v/>
      </c>
    </row>
    <row r="41">
      <c r="A41" s="35" t="n">
        <v>46475</v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7" t="n"/>
      <c r="T41" s="37" t="n"/>
      <c r="U41" s="37" t="n"/>
      <c r="V41" s="38" t="n"/>
      <c r="W41" s="38" t="n"/>
      <c r="X41" s="38" t="n"/>
      <c r="Y41" s="39" t="n"/>
      <c r="Z41" s="11">
        <f>IF(A41&gt;TODAY(),"Upcoming",IF(Y41&lt;&gt;"","✓ Updated",IF(A41+6&gt;=TODAY(),"Due Friday","⚠ Missing")))</f>
        <v/>
      </c>
    </row>
    <row r="42">
      <c r="A42" s="35" t="n">
        <v>46482</v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7" t="n"/>
      <c r="T42" s="37" t="n"/>
      <c r="U42" s="37" t="n"/>
      <c r="V42" s="38" t="n"/>
      <c r="W42" s="38" t="n"/>
      <c r="X42" s="38" t="n"/>
      <c r="Y42" s="39" t="n"/>
      <c r="Z42" s="11">
        <f>IF(A42&gt;TODAY(),"Upcoming",IF(Y42&lt;&gt;"","✓ Updated",IF(A42+6&gt;=TODAY(),"Due Friday","⚠ Missing")))</f>
        <v/>
      </c>
    </row>
    <row r="43">
      <c r="A43" s="35" t="n">
        <v>46489</v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7" t="n"/>
      <c r="T43" s="37" t="n"/>
      <c r="U43" s="37" t="n"/>
      <c r="V43" s="38" t="n"/>
      <c r="W43" s="38" t="n"/>
      <c r="X43" s="38" t="n"/>
      <c r="Y43" s="39" t="n"/>
      <c r="Z43" s="11">
        <f>IF(A43&gt;TODAY(),"Upcoming",IF(Y43&lt;&gt;"","✓ Updated",IF(A43+6&gt;=TODAY(),"Due Friday","⚠ Missing")))</f>
        <v/>
      </c>
    </row>
    <row r="44">
      <c r="A44" s="35" t="n">
        <v>46496</v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7" t="n"/>
      <c r="T44" s="37" t="n"/>
      <c r="U44" s="37" t="n"/>
      <c r="V44" s="38" t="n"/>
      <c r="W44" s="38" t="n"/>
      <c r="X44" s="38" t="n"/>
      <c r="Y44" s="39" t="n"/>
      <c r="Z44" s="11">
        <f>IF(A44&gt;TODAY(),"Upcoming",IF(Y44&lt;&gt;"","✓ Updated",IF(A44+6&gt;=TODAY(),"Due Friday","⚠ Missing")))</f>
        <v/>
      </c>
    </row>
    <row r="45">
      <c r="A45" s="35" t="n">
        <v>46503</v>
      </c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7" t="n"/>
      <c r="T45" s="37" t="n"/>
      <c r="U45" s="37" t="n"/>
      <c r="V45" s="38" t="n"/>
      <c r="W45" s="38" t="n"/>
      <c r="X45" s="38" t="n"/>
      <c r="Y45" s="39" t="n"/>
      <c r="Z45" s="11">
        <f>IF(A45&gt;TODAY(),"Upcoming",IF(Y45&lt;&gt;"","✓ Updated",IF(A45+6&gt;=TODAY(),"Due Friday","⚠ Missing")))</f>
        <v/>
      </c>
    </row>
    <row r="46">
      <c r="A46" s="35" t="n">
        <v>46510</v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7" t="n"/>
      <c r="T46" s="37" t="n"/>
      <c r="U46" s="37" t="n"/>
      <c r="V46" s="38" t="n"/>
      <c r="W46" s="38" t="n"/>
      <c r="X46" s="38" t="n"/>
      <c r="Y46" s="39" t="n"/>
      <c r="Z46" s="11">
        <f>IF(A46&gt;TODAY(),"Upcoming",IF(Y46&lt;&gt;"","✓ Updated",IF(A46+6&gt;=TODAY(),"Due Friday","⚠ Missing")))</f>
        <v/>
      </c>
    </row>
    <row r="47">
      <c r="A47" s="35" t="n">
        <v>46517</v>
      </c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7" t="n"/>
      <c r="T47" s="37" t="n"/>
      <c r="U47" s="37" t="n"/>
      <c r="V47" s="38" t="n"/>
      <c r="W47" s="38" t="n"/>
      <c r="X47" s="38" t="n"/>
      <c r="Y47" s="39" t="n"/>
      <c r="Z47" s="11">
        <f>IF(A47&gt;TODAY(),"Upcoming",IF(Y47&lt;&gt;"","✓ Updated",IF(A47+6&gt;=TODAY(),"Due Friday","⚠ Missing")))</f>
        <v/>
      </c>
    </row>
    <row r="48">
      <c r="A48" s="35" t="n">
        <v>46524</v>
      </c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7" t="n"/>
      <c r="T48" s="37" t="n"/>
      <c r="U48" s="37" t="n"/>
      <c r="V48" s="38" t="n"/>
      <c r="W48" s="38" t="n"/>
      <c r="X48" s="38" t="n"/>
      <c r="Y48" s="39" t="n"/>
      <c r="Z48" s="11">
        <f>IF(A48&gt;TODAY(),"Upcoming",IF(Y48&lt;&gt;"","✓ Updated",IF(A48+6&gt;=TODAY(),"Due Friday","⚠ Missing")))</f>
        <v/>
      </c>
    </row>
    <row r="49">
      <c r="A49" s="35" t="n">
        <v>46531</v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7" t="n"/>
      <c r="T49" s="37" t="n"/>
      <c r="U49" s="37" t="n"/>
      <c r="V49" s="38" t="n"/>
      <c r="W49" s="38" t="n"/>
      <c r="X49" s="38" t="n"/>
      <c r="Y49" s="39" t="n"/>
      <c r="Z49" s="11">
        <f>IF(A49&gt;TODAY(),"Upcoming",IF(Y49&lt;&gt;"","✓ Updated",IF(A49+6&gt;=TODAY(),"Due Friday","⚠ Missing")))</f>
        <v/>
      </c>
    </row>
    <row r="50">
      <c r="A50" s="35" t="n">
        <v>46538</v>
      </c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7" t="n"/>
      <c r="T50" s="37" t="n"/>
      <c r="U50" s="37" t="n"/>
      <c r="V50" s="38" t="n"/>
      <c r="W50" s="38" t="n"/>
      <c r="X50" s="38" t="n"/>
      <c r="Y50" s="39" t="n"/>
      <c r="Z50" s="11">
        <f>IF(A50&gt;TODAY(),"Upcoming",IF(Y50&lt;&gt;"","✓ Updated",IF(A50+6&gt;=TODAY(),"Due Friday","⚠ Missing")))</f>
        <v/>
      </c>
    </row>
    <row r="51">
      <c r="A51" s="35" t="n">
        <v>46545</v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7" t="n"/>
      <c r="T51" s="37" t="n"/>
      <c r="U51" s="37" t="n"/>
      <c r="V51" s="38" t="n"/>
      <c r="W51" s="38" t="n"/>
      <c r="X51" s="38" t="n"/>
      <c r="Y51" s="39" t="n"/>
      <c r="Z51" s="11">
        <f>IF(A51&gt;TODAY(),"Upcoming",IF(Y51&lt;&gt;"","✓ Updated",IF(A51+6&gt;=TODAY(),"Due Friday","⚠ Missing")))</f>
        <v/>
      </c>
    </row>
    <row r="52">
      <c r="A52" s="35" t="n">
        <v>46552</v>
      </c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7" t="n"/>
      <c r="T52" s="37" t="n"/>
      <c r="U52" s="37" t="n"/>
      <c r="V52" s="38" t="n"/>
      <c r="W52" s="38" t="n"/>
      <c r="X52" s="38" t="n"/>
      <c r="Y52" s="39" t="n"/>
      <c r="Z52" s="11">
        <f>IF(A52&gt;TODAY(),"Upcoming",IF(Y52&lt;&gt;"","✓ Updated",IF(A52+6&gt;=TODAY(),"Due Friday","⚠ Missing")))</f>
        <v/>
      </c>
    </row>
    <row r="53">
      <c r="A53" s="35" t="n">
        <v>46559</v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7" t="n"/>
      <c r="T53" s="37" t="n"/>
      <c r="U53" s="37" t="n"/>
      <c r="V53" s="38" t="n"/>
      <c r="W53" s="38" t="n"/>
      <c r="X53" s="38" t="n"/>
      <c r="Y53" s="39" t="n"/>
      <c r="Z53" s="11">
        <f>IF(A53&gt;TODAY(),"Upcoming",IF(Y53&lt;&gt;"","✓ Updated",IF(A53+6&gt;=TODAY(),"Due Friday","⚠ Missing")))</f>
        <v/>
      </c>
    </row>
    <row r="54">
      <c r="A54" s="35" t="n">
        <v>46566</v>
      </c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7" t="n"/>
      <c r="T54" s="37" t="n"/>
      <c r="U54" s="37" t="n"/>
      <c r="V54" s="38" t="n"/>
      <c r="W54" s="38" t="n"/>
      <c r="X54" s="38" t="n"/>
      <c r="Y54" s="39" t="n"/>
      <c r="Z54" s="11">
        <f>IF(A54&gt;TODAY(),"Upcoming",IF(Y54&lt;&gt;"","✓ Updated",IF(A54+6&gt;=TODAY(),"Due Friday","⚠ Missing")))</f>
        <v/>
      </c>
    </row>
    <row r="55">
      <c r="A55" s="35" t="n">
        <v>46573</v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7" t="n"/>
      <c r="T55" s="37" t="n"/>
      <c r="U55" s="37" t="n"/>
      <c r="V55" s="38" t="n"/>
      <c r="W55" s="38" t="n"/>
      <c r="X55" s="38" t="n"/>
      <c r="Y55" s="39" t="n"/>
      <c r="Z55" s="11">
        <f>IF(A55&gt;TODAY(),"Upcoming",IF(Y55&lt;&gt;"","✓ Updated",IF(A55+6&gt;=TODAY(),"Due Friday","⚠ Missing")))</f>
        <v/>
      </c>
    </row>
    <row r="56">
      <c r="A56" s="35" t="n">
        <v>46580</v>
      </c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7" t="n"/>
      <c r="T56" s="37" t="n"/>
      <c r="U56" s="37" t="n"/>
      <c r="V56" s="38" t="n"/>
      <c r="W56" s="38" t="n"/>
      <c r="X56" s="38" t="n"/>
      <c r="Y56" s="39" t="n"/>
      <c r="Z56" s="11">
        <f>IF(A56&gt;TODAY(),"Upcoming",IF(Y56&lt;&gt;"","✓ Updated",IF(A56+6&gt;=TODAY(),"Due Friday","⚠ Missing")))</f>
        <v/>
      </c>
    </row>
    <row r="57">
      <c r="A57" s="35" t="n">
        <v>46587</v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7" t="n"/>
      <c r="T57" s="37" t="n"/>
      <c r="U57" s="37" t="n"/>
      <c r="V57" s="38" t="n"/>
      <c r="W57" s="38" t="n"/>
      <c r="X57" s="38" t="n"/>
      <c r="Y57" s="39" t="n"/>
      <c r="Z57" s="11">
        <f>IF(A57&gt;TODAY(),"Upcoming",IF(Y57&lt;&gt;"","✓ Updated",IF(A57+6&gt;=TODAY(),"Due Friday","⚠ Missing")))</f>
        <v/>
      </c>
    </row>
    <row r="58">
      <c r="A58" s="35" t="n">
        <v>46594</v>
      </c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7" t="n"/>
      <c r="T58" s="37" t="n"/>
      <c r="U58" s="37" t="n"/>
      <c r="V58" s="38" t="n"/>
      <c r="W58" s="38" t="n"/>
      <c r="X58" s="38" t="n"/>
      <c r="Y58" s="39" t="n"/>
      <c r="Z58" s="11">
        <f>IF(A58&gt;TODAY(),"Upcoming",IF(Y58&lt;&gt;"","✓ Updated",IF(A58+6&gt;=TODAY(),"Due Friday","⚠ Missing")))</f>
        <v/>
      </c>
    </row>
    <row r="59">
      <c r="A59" s="35" t="n">
        <v>46601</v>
      </c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7" t="n"/>
      <c r="T59" s="37" t="n"/>
      <c r="U59" s="37" t="n"/>
      <c r="V59" s="38" t="n"/>
      <c r="W59" s="38" t="n"/>
      <c r="X59" s="38" t="n"/>
      <c r="Y59" s="39" t="n"/>
      <c r="Z59" s="11">
        <f>IF(A59&gt;TODAY(),"Upcoming",IF(Y59&lt;&gt;"","✓ Updated",IF(A59+6&gt;=TODAY(),"Due Friday","⚠ Missing")))</f>
        <v/>
      </c>
    </row>
    <row r="60">
      <c r="A60" s="35" t="n">
        <v>46608</v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7" t="n"/>
      <c r="T60" s="37" t="n"/>
      <c r="U60" s="37" t="n"/>
      <c r="V60" s="38" t="n"/>
      <c r="W60" s="38" t="n"/>
      <c r="X60" s="38" t="n"/>
      <c r="Y60" s="39" t="n"/>
      <c r="Z60" s="11">
        <f>IF(A60&gt;TODAY(),"Upcoming",IF(Y60&lt;&gt;"","✓ Updated",IF(A60+6&gt;=TODAY(),"Due Friday","⚠ Missing")))</f>
        <v/>
      </c>
    </row>
    <row r="61">
      <c r="A61" s="35" t="n">
        <v>46615</v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7" t="n"/>
      <c r="T61" s="37" t="n"/>
      <c r="U61" s="37" t="n"/>
      <c r="V61" s="38" t="n"/>
      <c r="W61" s="38" t="n"/>
      <c r="X61" s="38" t="n"/>
      <c r="Y61" s="39" t="n"/>
      <c r="Z61" s="11">
        <f>IF(A61&gt;TODAY(),"Upcoming",IF(Y61&lt;&gt;"","✓ Updated",IF(A61+6&gt;=TODAY(),"Due Friday","⚠ Missing")))</f>
        <v/>
      </c>
    </row>
    <row r="62">
      <c r="A62" s="35" t="n">
        <v>46622</v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7" t="n"/>
      <c r="T62" s="37" t="n"/>
      <c r="U62" s="37" t="n"/>
      <c r="V62" s="38" t="n"/>
      <c r="W62" s="38" t="n"/>
      <c r="X62" s="38" t="n"/>
      <c r="Y62" s="39" t="n"/>
      <c r="Z62" s="11">
        <f>IF(A62&gt;TODAY(),"Upcoming",IF(Y62&lt;&gt;"","✓ Updated",IF(A62+6&gt;=TODAY(),"Due Friday","⚠ Missing")))</f>
        <v/>
      </c>
    </row>
    <row r="63">
      <c r="A63" s="35" t="n">
        <v>46629</v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7" t="n"/>
      <c r="T63" s="37" t="n"/>
      <c r="U63" s="37" t="n"/>
      <c r="V63" s="38" t="n"/>
      <c r="W63" s="38" t="n"/>
      <c r="X63" s="38" t="n"/>
      <c r="Y63" s="39" t="n"/>
      <c r="Z63" s="11">
        <f>IF(A63&gt;TODAY(),"Upcoming",IF(Y63&lt;&gt;"","✓ Updated",IF(A63+6&gt;=TODAY(),"Due Friday","⚠ Missing")))</f>
        <v/>
      </c>
    </row>
    <row r="64">
      <c r="A64" s="35" t="n">
        <v>46636</v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7" t="n"/>
      <c r="T64" s="37" t="n"/>
      <c r="U64" s="37" t="n"/>
      <c r="V64" s="38" t="n"/>
      <c r="W64" s="38" t="n"/>
      <c r="X64" s="38" t="n"/>
      <c r="Y64" s="39" t="n"/>
      <c r="Z64" s="11">
        <f>IF(A64&gt;TODAY(),"Upcoming",IF(Y64&lt;&gt;"","✓ Updated",IF(A64+6&gt;=TODAY(),"Due Friday","⚠ Missing")))</f>
        <v/>
      </c>
    </row>
    <row r="65">
      <c r="A65" s="35" t="n">
        <v>46643</v>
      </c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7" t="n"/>
      <c r="T65" s="37" t="n"/>
      <c r="U65" s="37" t="n"/>
      <c r="V65" s="38" t="n"/>
      <c r="W65" s="38" t="n"/>
      <c r="X65" s="38" t="n"/>
      <c r="Y65" s="39" t="n"/>
      <c r="Z65" s="11">
        <f>IF(A65&gt;TODAY(),"Upcoming",IF(Y65&lt;&gt;"","✓ Updated",IF(A65+6&gt;=TODAY(),"Due Friday","⚠ Missing")))</f>
        <v/>
      </c>
    </row>
    <row r="66">
      <c r="A66" s="35" t="n">
        <v>46650</v>
      </c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7" t="n"/>
      <c r="T66" s="37" t="n"/>
      <c r="U66" s="37" t="n"/>
      <c r="V66" s="38" t="n"/>
      <c r="W66" s="38" t="n"/>
      <c r="X66" s="38" t="n"/>
      <c r="Y66" s="39" t="n"/>
      <c r="Z66" s="11">
        <f>IF(A66&gt;TODAY(),"Upcoming",IF(Y66&lt;&gt;"","✓ Updated",IF(A66+6&gt;=TODAY(),"Due Friday","⚠ Missing")))</f>
        <v/>
      </c>
    </row>
    <row r="67">
      <c r="A67" s="35" t="n">
        <v>46657</v>
      </c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7" t="n"/>
      <c r="T67" s="37" t="n"/>
      <c r="U67" s="37" t="n"/>
      <c r="V67" s="38" t="n"/>
      <c r="W67" s="38" t="n"/>
      <c r="X67" s="38" t="n"/>
      <c r="Y67" s="39" t="n"/>
      <c r="Z67" s="11">
        <f>IF(A67&gt;TODAY(),"Upcoming",IF(Y67&lt;&gt;"","✓ Updated",IF(A67+6&gt;=TODAY(),"Due Friday","⚠ Missing")))</f>
        <v/>
      </c>
    </row>
    <row r="68">
      <c r="A68" s="35" t="n">
        <v>46664</v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7" t="n"/>
      <c r="T68" s="37" t="n"/>
      <c r="U68" s="37" t="n"/>
      <c r="V68" s="38" t="n"/>
      <c r="W68" s="38" t="n"/>
      <c r="X68" s="38" t="n"/>
      <c r="Y68" s="39" t="n"/>
      <c r="Z68" s="11">
        <f>IF(A68&gt;TODAY(),"Upcoming",IF(Y68&lt;&gt;"","✓ Updated",IF(A68+6&gt;=TODAY(),"Due Friday","⚠ Missing")))</f>
        <v/>
      </c>
    </row>
    <row r="69">
      <c r="A69" s="35" t="n">
        <v>46671</v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7" t="n"/>
      <c r="T69" s="37" t="n"/>
      <c r="U69" s="37" t="n"/>
      <c r="V69" s="38" t="n"/>
      <c r="W69" s="38" t="n"/>
      <c r="X69" s="38" t="n"/>
      <c r="Y69" s="39" t="n"/>
      <c r="Z69" s="11">
        <f>IF(A69&gt;TODAY(),"Upcoming",IF(Y69&lt;&gt;"","✓ Updated",IF(A69+6&gt;=TODAY(),"Due Friday","⚠ Missing")))</f>
        <v/>
      </c>
    </row>
    <row r="70">
      <c r="A70" s="35" t="n">
        <v>46678</v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7" t="n"/>
      <c r="T70" s="37" t="n"/>
      <c r="U70" s="37" t="n"/>
      <c r="V70" s="38" t="n"/>
      <c r="W70" s="38" t="n"/>
      <c r="X70" s="38" t="n"/>
      <c r="Y70" s="39" t="n"/>
      <c r="Z70" s="11">
        <f>IF(A70&gt;TODAY(),"Upcoming",IF(Y70&lt;&gt;"","✓ Updated",IF(A70+6&gt;=TODAY(),"Due Friday","⚠ Missing")))</f>
        <v/>
      </c>
    </row>
    <row r="71">
      <c r="A71" s="35" t="n">
        <v>46685</v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7" t="n"/>
      <c r="T71" s="37" t="n"/>
      <c r="U71" s="37" t="n"/>
      <c r="V71" s="38" t="n"/>
      <c r="W71" s="38" t="n"/>
      <c r="X71" s="38" t="n"/>
      <c r="Y71" s="39" t="n"/>
      <c r="Z71" s="11">
        <f>IF(A71&gt;TODAY(),"Upcoming",IF(Y71&lt;&gt;"","✓ Updated",IF(A71+6&gt;=TODAY(),"Due Friday","⚠ Missing")))</f>
        <v/>
      </c>
    </row>
    <row r="72">
      <c r="A72" s="35" t="n">
        <v>46692</v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7" t="n"/>
      <c r="T72" s="37" t="n"/>
      <c r="U72" s="37" t="n"/>
      <c r="V72" s="38" t="n"/>
      <c r="W72" s="38" t="n"/>
      <c r="X72" s="38" t="n"/>
      <c r="Y72" s="39" t="n"/>
      <c r="Z72" s="11">
        <f>IF(A72&gt;TODAY(),"Upcoming",IF(Y72&lt;&gt;"","✓ Updated",IF(A72+6&gt;=TODAY(),"Due Friday","⚠ Missing")))</f>
        <v/>
      </c>
    </row>
    <row r="73">
      <c r="A73" s="35" t="n">
        <v>46699</v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7" t="n"/>
      <c r="T73" s="37" t="n"/>
      <c r="U73" s="37" t="n"/>
      <c r="V73" s="38" t="n"/>
      <c r="W73" s="38" t="n"/>
      <c r="X73" s="38" t="n"/>
      <c r="Y73" s="39" t="n"/>
      <c r="Z73" s="11">
        <f>IF(A73&gt;TODAY(),"Upcoming",IF(Y73&lt;&gt;"","✓ Updated",IF(A73+6&gt;=TODAY(),"Due Friday","⚠ Missing")))</f>
        <v/>
      </c>
    </row>
    <row r="74">
      <c r="A74" s="35" t="n">
        <v>46706</v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7" t="n"/>
      <c r="T74" s="37" t="n"/>
      <c r="U74" s="37" t="n"/>
      <c r="V74" s="38" t="n"/>
      <c r="W74" s="38" t="n"/>
      <c r="X74" s="38" t="n"/>
      <c r="Y74" s="39" t="n"/>
      <c r="Z74" s="11">
        <f>IF(A74&gt;TODAY(),"Upcoming",IF(Y74&lt;&gt;"","✓ Updated",IF(A74+6&gt;=TODAY(),"Due Friday","⚠ Missing")))</f>
        <v/>
      </c>
    </row>
    <row r="75">
      <c r="A75" s="35" t="n">
        <v>46713</v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7" t="n"/>
      <c r="T75" s="37" t="n"/>
      <c r="U75" s="37" t="n"/>
      <c r="V75" s="38" t="n"/>
      <c r="W75" s="38" t="n"/>
      <c r="X75" s="38" t="n"/>
      <c r="Y75" s="39" t="n"/>
      <c r="Z75" s="11">
        <f>IF(A75&gt;TODAY(),"Upcoming",IF(Y75&lt;&gt;"","✓ Updated",IF(A75+6&gt;=TODAY(),"Due Friday","⚠ Missing")))</f>
        <v/>
      </c>
    </row>
    <row r="76">
      <c r="A76" s="35" t="n">
        <v>46720</v>
      </c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7" t="n"/>
      <c r="T76" s="37" t="n"/>
      <c r="U76" s="37" t="n"/>
      <c r="V76" s="38" t="n"/>
      <c r="W76" s="38" t="n"/>
      <c r="X76" s="38" t="n"/>
      <c r="Y76" s="39" t="n"/>
      <c r="Z76" s="11">
        <f>IF(A76&gt;TODAY(),"Upcoming",IF(Y76&lt;&gt;"","✓ Updated",IF(A76+6&gt;=TODAY(),"Due Friday","⚠ Missing")))</f>
        <v/>
      </c>
    </row>
    <row r="77">
      <c r="A77" s="35" t="n">
        <v>46727</v>
      </c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7" t="n"/>
      <c r="T77" s="37" t="n"/>
      <c r="U77" s="37" t="n"/>
      <c r="V77" s="38" t="n"/>
      <c r="W77" s="38" t="n"/>
      <c r="X77" s="38" t="n"/>
      <c r="Y77" s="39" t="n"/>
      <c r="Z77" s="11">
        <f>IF(A77&gt;TODAY(),"Upcoming",IF(Y77&lt;&gt;"","✓ Updated",IF(A77+6&gt;=TODAY(),"Due Friday","⚠ Missing")))</f>
        <v/>
      </c>
    </row>
    <row r="78">
      <c r="A78" s="35" t="n">
        <v>46734</v>
      </c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7" t="n"/>
      <c r="T78" s="37" t="n"/>
      <c r="U78" s="37" t="n"/>
      <c r="V78" s="38" t="n"/>
      <c r="W78" s="38" t="n"/>
      <c r="X78" s="38" t="n"/>
      <c r="Y78" s="39" t="n"/>
      <c r="Z78" s="11">
        <f>IF(A78&gt;TODAY(),"Upcoming",IF(Y78&lt;&gt;"","✓ Updated",IF(A78+6&gt;=TODAY(),"Due Friday","⚠ Missing")))</f>
        <v/>
      </c>
    </row>
    <row r="79">
      <c r="A79" s="35" t="n">
        <v>46741</v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7" t="n"/>
      <c r="T79" s="37" t="n"/>
      <c r="U79" s="37" t="n"/>
      <c r="V79" s="38" t="n"/>
      <c r="W79" s="38" t="n"/>
      <c r="X79" s="38" t="n"/>
      <c r="Y79" s="39" t="n"/>
      <c r="Z79" s="11">
        <f>IF(A79&gt;TODAY(),"Upcoming",IF(Y79&lt;&gt;"","✓ Updated",IF(A79+6&gt;=TODAY(),"Due Friday","⚠ Missing")))</f>
        <v/>
      </c>
    </row>
    <row r="80">
      <c r="A80" s="35" t="n">
        <v>46748</v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7" t="n"/>
      <c r="T80" s="37" t="n"/>
      <c r="U80" s="37" t="n"/>
      <c r="V80" s="38" t="n"/>
      <c r="W80" s="38" t="n"/>
      <c r="X80" s="38" t="n"/>
      <c r="Y80" s="39" t="n"/>
      <c r="Z80" s="11">
        <f>IF(A80&gt;TODAY(),"Upcoming",IF(Y80&lt;&gt;"","✓ Updated",IF(A80+6&gt;=TODAY(),"Due Friday","⚠ Missing")))</f>
        <v/>
      </c>
    </row>
  </sheetData>
  <mergeCells count="18">
    <mergeCell ref="H6:J6"/>
    <mergeCell ref="H10:J10"/>
    <mergeCell ref="A7:B7"/>
    <mergeCell ref="A1:Z1"/>
    <mergeCell ref="A11:B11"/>
    <mergeCell ref="H5:J5"/>
    <mergeCell ref="A10:B10"/>
    <mergeCell ref="A5:B5"/>
    <mergeCell ref="H8:J8"/>
    <mergeCell ref="H9:J9"/>
    <mergeCell ref="A4:F4"/>
    <mergeCell ref="A2:Z2"/>
    <mergeCell ref="A9:B9"/>
    <mergeCell ref="A8:B8"/>
    <mergeCell ref="H11:J11"/>
    <mergeCell ref="A6:B6"/>
    <mergeCell ref="H7:J7"/>
    <mergeCell ref="A12:B12"/>
  </mergeCells>
  <conditionalFormatting sqref="F6:F12">
    <cfRule type="cellIs" priority="1" operator="equal" dxfId="3">
      <formula>"On pace"</formula>
    </cfRule>
    <cfRule type="cellIs" priority="2" operator="equal" dxfId="4">
      <formula>"Behind"</formula>
    </cfRule>
  </conditionalFormatting>
  <conditionalFormatting sqref="Z15:Z80">
    <cfRule type="cellIs" priority="3" operator="equal" dxfId="0">
      <formula>"⚠ Missing"</formula>
    </cfRule>
    <cfRule type="cellIs" priority="4" operator="equal" dxfId="1">
      <formula>"✓ Updated"</formula>
    </cfRule>
    <cfRule type="cellIs" priority="5" operator="equal" dxfId="5">
      <formula>"Due Friday"</formula>
    </cfRule>
  </conditionalFormatting>
  <conditionalFormatting sqref="A15:X80">
    <cfRule type="expression" priority="6" dxfId="6">
      <formula>AND($A15&lt;=TODAY(),$A15+6&gt;=TODAY())</formula>
    </cfRule>
  </conditionalFormatting>
  <dataValidations count="1">
    <dataValidation sqref="B15:U80" showDropDown="0" showInputMessage="0" showErrorMessage="1" allowBlank="1" errorTitle="Numbers only" error="Please enter a number (0 or more).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A227"/>
    <outlinePr summaryBelow="1" summaryRight="1"/>
    <pageSetUpPr/>
  </sheetPr>
  <dimension ref="A1:F3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22" customWidth="1" min="3" max="3"/>
    <col width="22" customWidth="1" min="4" max="4"/>
    <col width="22" customWidth="1" min="5" max="5"/>
    <col hidden="1" width="13" customWidth="1" min="6" max="6"/>
  </cols>
  <sheetData>
    <row r="1" ht="34" customHeight="1">
      <c r="A1" s="1">
        <f>IF('Settings'!B16="","Agent 3",'Settings'!B16)&amp;" — Business Development &amp; Growth Assessment"</f>
        <v/>
      </c>
    </row>
    <row r="2" ht="44" customHeight="1">
      <c r="A2" s="5" t="inlineStr">
        <is>
          <t>THE PRAEDIUM GROUP  •  This assessment helps us understand where you are today, where your time is going, and what training, structure, or support could help you grow. There are no “right” answers — answer based on what your business actually looks like today. Estimates are completely acceptable. Yellow cells are yours to fill in.</t>
        </is>
      </c>
    </row>
    <row r="3">
      <c r="B3" s="40" t="inlineStr">
        <is>
          <t>Completion:</t>
        </is>
      </c>
      <c r="C3" s="41">
        <f>IFERROR(SUMPRODUCT((F5:F400=1)*(C5:C400&lt;&gt;""))/SUM(F5:F400),0)</f>
        <v/>
      </c>
    </row>
    <row r="5" ht="24" customHeight="1">
      <c r="A5" s="42" t="inlineStr">
        <is>
          <t>1. ABOUT YOUR BUSINESS TODAY</t>
        </is>
      </c>
    </row>
    <row r="6">
      <c r="B6" s="43" t="inlineStr">
        <is>
          <t>Market Center / KW Office</t>
        </is>
      </c>
      <c r="C6" s="44" t="n"/>
      <c r="D6" s="28" t="n"/>
      <c r="E6" s="28" t="n"/>
      <c r="F6" t="n">
        <v>1</v>
      </c>
    </row>
    <row r="7">
      <c r="B7" s="43" t="inlineStr">
        <is>
          <t>How long have you been licensed in real estate?</t>
        </is>
      </c>
      <c r="C7" s="44" t="n"/>
      <c r="D7" s="28" t="n"/>
      <c r="E7" s="28" t="n"/>
      <c r="F7" t="n">
        <v>1</v>
      </c>
    </row>
    <row r="8">
      <c r="B8" s="43" t="inlineStr">
        <is>
          <t>How long have you actively worked in commercial real estate?</t>
        </is>
      </c>
      <c r="C8" s="44" t="n"/>
      <c r="D8" s="28" t="n"/>
      <c r="E8" s="28" t="n"/>
      <c r="F8" t="n">
        <v>1</v>
      </c>
    </row>
    <row r="9">
      <c r="B9" s="43" t="inlineStr">
        <is>
          <t>How would you describe your current real estate business?</t>
        </is>
      </c>
      <c r="C9" s="44" t="n"/>
      <c r="D9" s="28" t="n"/>
      <c r="E9" s="28" t="n"/>
      <c r="F9" t="n">
        <v>1</v>
      </c>
    </row>
    <row r="10" ht="48" customHeight="1">
      <c r="B10" s="43" t="inlineStr">
        <is>
          <t>If you selected Other, please explain:</t>
        </is>
      </c>
      <c r="C10" s="44" t="n"/>
      <c r="D10" s="28" t="n"/>
      <c r="E10" s="28" t="n"/>
      <c r="F10" t="n">
        <v>1</v>
      </c>
    </row>
    <row r="11">
      <c r="B11" s="43" t="inlineStr">
        <is>
          <t>Is real estate currently your primary occupation?</t>
        </is>
      </c>
      <c r="C11" s="44" t="n"/>
      <c r="D11" s="28" t="n"/>
      <c r="E11" s="28" t="n"/>
      <c r="F11" t="n">
        <v>1</v>
      </c>
    </row>
    <row r="12" ht="48" customHeight="1">
      <c r="B12" s="43" t="inlineStr">
        <is>
          <t>If not, what other work or major commitments currently compete for your time?</t>
        </is>
      </c>
      <c r="C12" s="44" t="n"/>
      <c r="D12" s="28" t="n"/>
      <c r="E12" s="28" t="n"/>
      <c r="F12" t="n">
        <v>1</v>
      </c>
    </row>
    <row r="14" ht="24" customHeight="1">
      <c r="A14" s="42" t="inlineStr">
        <is>
          <t>2. YOUR CURRENT WORK WEEK</t>
        </is>
      </c>
    </row>
    <row r="15" ht="28" customHeight="1">
      <c r="A15" s="45" t="inlineStr">
        <is>
          <t>We want to understand what your schedule actually looks like today.</t>
        </is>
      </c>
    </row>
    <row r="16">
      <c r="B16" s="43" t="inlineStr">
        <is>
          <t>On average, how many days per week do you currently spend working on real estate?</t>
        </is>
      </c>
      <c r="C16" s="44" t="n"/>
      <c r="D16" s="28" t="n"/>
      <c r="E16" s="28" t="n"/>
      <c r="F16" t="n">
        <v>1</v>
      </c>
    </row>
    <row r="17">
      <c r="B17" s="43" t="inlineStr">
        <is>
          <t>How many hours do you work on real estate during a typical day?</t>
        </is>
      </c>
      <c r="C17" s="44" t="n"/>
      <c r="D17" s="28" t="n"/>
      <c r="E17" s="28" t="n"/>
      <c r="F17" t="n">
        <v>1</v>
      </c>
    </row>
    <row r="18">
      <c r="B18" s="43" t="inlineStr">
        <is>
          <t>What time do you normally begin your workday?</t>
        </is>
      </c>
      <c r="C18" s="44" t="n"/>
      <c r="D18" s="28" t="n"/>
      <c r="E18" s="28" t="n"/>
      <c r="F18" t="n">
        <v>1</v>
      </c>
    </row>
    <row r="19">
      <c r="B19" s="43" t="inlineStr">
        <is>
          <t>What time do you normally finish your workday?</t>
        </is>
      </c>
      <c r="C19" s="44" t="n"/>
      <c r="D19" s="28" t="n"/>
      <c r="E19" s="28" t="n"/>
      <c r="F19" t="n">
        <v>1</v>
      </c>
    </row>
    <row r="20">
      <c r="B20" s="43" t="inlineStr">
        <is>
          <t>Is your schedule generally consistent from day to day?</t>
        </is>
      </c>
      <c r="C20" s="44" t="n"/>
      <c r="D20" s="28" t="n"/>
      <c r="E20" s="28" t="n"/>
      <c r="F20" t="n">
        <v>1</v>
      </c>
    </row>
    <row r="22">
      <c r="B22" s="46" t="inlineStr">
        <is>
          <t>Day</t>
        </is>
      </c>
      <c r="C22" s="46" t="inlineStr">
        <is>
          <t>Usually Work?</t>
        </is>
      </c>
      <c r="D22" s="46" t="inlineStr">
        <is>
          <t>Approx. Hours</t>
        </is>
      </c>
    </row>
    <row r="23">
      <c r="B23" s="47" t="inlineStr">
        <is>
          <t>Monday</t>
        </is>
      </c>
      <c r="C23" s="36" t="n"/>
      <c r="D23" s="36" t="n"/>
      <c r="F23" t="n">
        <v>1</v>
      </c>
    </row>
    <row r="24">
      <c r="B24" s="47" t="inlineStr">
        <is>
          <t>Tuesday</t>
        </is>
      </c>
      <c r="C24" s="36" t="n"/>
      <c r="D24" s="36" t="n"/>
      <c r="F24" t="n">
        <v>1</v>
      </c>
    </row>
    <row r="25">
      <c r="B25" s="47" t="inlineStr">
        <is>
          <t>Wednesday</t>
        </is>
      </c>
      <c r="C25" s="36" t="n"/>
      <c r="D25" s="36" t="n"/>
      <c r="F25" t="n">
        <v>1</v>
      </c>
    </row>
    <row r="26">
      <c r="B26" s="47" t="inlineStr">
        <is>
          <t>Thursday</t>
        </is>
      </c>
      <c r="C26" s="36" t="n"/>
      <c r="D26" s="36" t="n"/>
      <c r="F26" t="n">
        <v>1</v>
      </c>
    </row>
    <row r="27">
      <c r="B27" s="47" t="inlineStr">
        <is>
          <t>Friday</t>
        </is>
      </c>
      <c r="C27" s="36" t="n"/>
      <c r="D27" s="36" t="n"/>
      <c r="F27" t="n">
        <v>1</v>
      </c>
    </row>
    <row r="28">
      <c r="B28" s="47" t="inlineStr">
        <is>
          <t>Saturday</t>
        </is>
      </c>
      <c r="C28" s="36" t="n"/>
      <c r="D28" s="36" t="n"/>
      <c r="F28" t="n">
        <v>1</v>
      </c>
    </row>
    <row r="29">
      <c r="B29" s="47" t="inlineStr">
        <is>
          <t>Sunday</t>
        </is>
      </c>
      <c r="C29" s="36" t="n"/>
      <c r="D29" s="36" t="n"/>
      <c r="F29" t="n">
        <v>1</v>
      </c>
    </row>
    <row r="31">
      <c r="B31" s="48" t="inlineStr">
        <is>
          <t>How is your typical real estate week divided?</t>
        </is>
      </c>
    </row>
    <row r="32">
      <c r="B32" s="46" t="inlineStr">
        <is>
          <t>Area</t>
        </is>
      </c>
      <c r="C32" s="46" t="inlineStr">
        <is>
          <t>Hours / Week</t>
        </is>
      </c>
    </row>
    <row r="33">
      <c r="B33" s="47" t="inlineStr">
        <is>
          <t>Commercial Real Estate</t>
        </is>
      </c>
      <c r="C33" s="36" t="n"/>
      <c r="F33" t="n">
        <v>1</v>
      </c>
    </row>
    <row r="34">
      <c r="B34" s="47" t="inlineStr">
        <is>
          <t>Residential Real Estate</t>
        </is>
      </c>
      <c r="C34" s="36" t="n"/>
      <c r="F34" t="n">
        <v>1</v>
      </c>
    </row>
    <row r="35">
      <c r="B35" s="47" t="inlineStr">
        <is>
          <t>Administrative / Business Operations</t>
        </is>
      </c>
      <c r="C35" s="36" t="n"/>
      <c r="F35" t="n">
        <v>1</v>
      </c>
    </row>
    <row r="36">
      <c r="B36" s="47" t="inlineStr">
        <is>
          <t>Other</t>
        </is>
      </c>
      <c r="C36" s="36" t="n"/>
      <c r="F36" t="n">
        <v>1</v>
      </c>
    </row>
    <row r="37">
      <c r="B37" s="49" t="inlineStr">
        <is>
          <t>TOTAL</t>
        </is>
      </c>
      <c r="C37" s="50">
        <f>SUM(C33:C36)</f>
        <v/>
      </c>
    </row>
    <row r="38" ht="48" customHeight="1">
      <c r="B38" s="43" t="inlineStr">
        <is>
          <t>If Other, what does that time consist of?</t>
        </is>
      </c>
      <c r="C38" s="44" t="n"/>
      <c r="D38" s="28" t="n"/>
      <c r="E38" s="28" t="n"/>
      <c r="F38" t="n">
        <v>1</v>
      </c>
    </row>
    <row r="40" ht="24" customHeight="1">
      <c r="A40" s="42" t="inlineStr">
        <is>
          <t>3. WHERE DOES YOUR TIME ACTUALLY GO?</t>
        </is>
      </c>
    </row>
    <row r="41" ht="28" customHeight="1">
      <c r="A41" s="45" t="inlineStr">
        <is>
          <t>You do not need to track every minute. Think about a typical week and make your best estimate. Use this guide if you are unsure how to categorize something.</t>
        </is>
      </c>
    </row>
    <row r="42">
      <c r="B42" s="51" t="inlineStr">
        <is>
          <t>Category</t>
        </is>
      </c>
      <c r="C42" s="51" t="inlineStr">
        <is>
          <t>Examples</t>
        </is>
      </c>
    </row>
    <row r="43" ht="26" customHeight="1">
      <c r="B43" s="3" t="inlineStr">
        <is>
          <t>Prospecting / Business Development</t>
        </is>
      </c>
      <c r="C43" s="52" t="inlineStr">
        <is>
          <t>Cold calling, owner outreach, tenant outreach, email campaigns, canvassing, prospect research</t>
        </is>
      </c>
    </row>
    <row r="44" ht="26" customHeight="1">
      <c r="B44" s="3" t="inlineStr">
        <is>
          <t>Client / Deal Work</t>
        </is>
      </c>
      <c r="C44" s="52" t="inlineStr">
        <is>
          <t>Tours, client meetings, LOIs, contracts, negotiations, due diligence, inspections, closing coordination</t>
        </is>
      </c>
    </row>
    <row r="45" ht="26" customHeight="1">
      <c r="B45" s="3" t="inlineStr">
        <is>
          <t>Market Research</t>
        </is>
      </c>
      <c r="C45" s="52" t="inlineStr">
        <is>
          <t>Crexi, CoStar, GIS, Land id, researching ownership, comps, zoning, demographics</t>
        </is>
      </c>
    </row>
    <row r="46" ht="26" customHeight="1">
      <c r="B46" s="3" t="inlineStr">
        <is>
          <t>Follow-Up / CRM</t>
        </is>
      </c>
      <c r="C46" s="52" t="inlineStr">
        <is>
          <t>Returning calls, email follow-up, CRM updates, maintaining prospect lists</t>
        </is>
      </c>
    </row>
    <row r="47" ht="26" customHeight="1">
      <c r="B47" s="3" t="inlineStr">
        <is>
          <t>Networking / Sphere</t>
        </is>
      </c>
      <c r="C47" s="52" t="inlineStr">
        <is>
          <t>KW agents, attorneys, lenders, CPAs, developers, business owners, networking events</t>
        </is>
      </c>
    </row>
    <row r="48" ht="26" customHeight="1">
      <c r="B48" s="3" t="inlineStr">
        <is>
          <t>Marketing</t>
        </is>
      </c>
      <c r="C48" s="52" t="inlineStr">
        <is>
          <t>Social media, property marketing, flyers, listing materials, content creation</t>
        </is>
      </c>
    </row>
    <row r="49" ht="26" customHeight="1">
      <c r="B49" s="3" t="inlineStr">
        <is>
          <t>Residential</t>
        </is>
      </c>
      <c r="C49" s="52" t="inlineStr">
        <is>
          <t>Residential prospecting, showings, listings, buyers, contracts, closings</t>
        </is>
      </c>
    </row>
    <row r="50" ht="26" customHeight="1">
      <c r="B50" s="3" t="inlineStr">
        <is>
          <t>Administrative</t>
        </is>
      </c>
      <c r="C50" s="52" t="inlineStr">
        <is>
          <t>Paperwork, scheduling, expense tracking, file organization, general admin</t>
        </is>
      </c>
    </row>
    <row r="51" ht="26" customHeight="1">
      <c r="B51" s="3" t="inlineStr">
        <is>
          <t>Training / Development</t>
        </is>
      </c>
      <c r="C51" s="52" t="inlineStr">
        <is>
          <t>Courses, meetings, CRE training, technology training, role-playing</t>
        </is>
      </c>
    </row>
    <row r="52" ht="26" customHeight="1">
      <c r="B52" s="3" t="inlineStr">
        <is>
          <t>Other</t>
        </is>
      </c>
      <c r="C52" s="52" t="inlineStr">
        <is>
          <t>Anything that does not reasonably fit above</t>
        </is>
      </c>
    </row>
    <row r="54">
      <c r="B54" s="46" t="inlineStr">
        <is>
          <t>Activity</t>
        </is>
      </c>
      <c r="C54" s="46" t="inlineStr">
        <is>
          <t>Approx. Hours / Week</t>
        </is>
      </c>
      <c r="D54" s="46" t="inlineStr">
        <is>
          <t>% of Real Estate Time</t>
        </is>
      </c>
    </row>
    <row r="55">
      <c r="B55" s="47" t="inlineStr">
        <is>
          <t>Commercial Prospecting / Business Development</t>
        </is>
      </c>
      <c r="C55" s="36" t="n"/>
      <c r="D55" s="53">
        <f>IFERROR(C55/SUM(C$55:C$64),"")</f>
        <v/>
      </c>
      <c r="F55" t="n">
        <v>1</v>
      </c>
    </row>
    <row r="56">
      <c r="B56" s="47" t="inlineStr">
        <is>
          <t>Commercial Client &amp; Deal Work</t>
        </is>
      </c>
      <c r="C56" s="36" t="n"/>
      <c r="D56" s="53">
        <f>IFERROR(C56/SUM(C$55:C$64),"")</f>
        <v/>
      </c>
      <c r="F56" t="n">
        <v>1</v>
      </c>
    </row>
    <row r="57">
      <c r="B57" s="47" t="inlineStr">
        <is>
          <t>Commercial Market Research</t>
        </is>
      </c>
      <c r="C57" s="36" t="n"/>
      <c r="D57" s="53">
        <f>IFERROR(C57/SUM(C$55:C$64),"")</f>
        <v/>
      </c>
      <c r="F57" t="n">
        <v>1</v>
      </c>
    </row>
    <row r="58">
      <c r="B58" s="47" t="inlineStr">
        <is>
          <t>Follow-Up / CRM</t>
        </is>
      </c>
      <c r="C58" s="36" t="n"/>
      <c r="D58" s="53">
        <f>IFERROR(C58/SUM(C$55:C$64),"")</f>
        <v/>
      </c>
      <c r="F58" t="n">
        <v>1</v>
      </c>
    </row>
    <row r="59">
      <c r="B59" s="47" t="inlineStr">
        <is>
          <t>Networking / Sphere Development</t>
        </is>
      </c>
      <c r="C59" s="36" t="n"/>
      <c r="D59" s="53">
        <f>IFERROR(C59/SUM(C$55:C$64),"")</f>
        <v/>
      </c>
      <c r="F59" t="n">
        <v>1</v>
      </c>
    </row>
    <row r="60">
      <c r="B60" s="47" t="inlineStr">
        <is>
          <t>Marketing / Content</t>
        </is>
      </c>
      <c r="C60" s="36" t="n"/>
      <c r="D60" s="53">
        <f>IFERROR(C60/SUM(C$55:C$64),"")</f>
        <v/>
      </c>
      <c r="F60" t="n">
        <v>1</v>
      </c>
    </row>
    <row r="61">
      <c r="B61" s="47" t="inlineStr">
        <is>
          <t>Residential Business</t>
        </is>
      </c>
      <c r="C61" s="36" t="n"/>
      <c r="D61" s="53">
        <f>IFERROR(C61/SUM(C$55:C$64),"")</f>
        <v/>
      </c>
      <c r="F61" t="n">
        <v>1</v>
      </c>
    </row>
    <row r="62">
      <c r="B62" s="47" t="inlineStr">
        <is>
          <t>Administrative Work</t>
        </is>
      </c>
      <c r="C62" s="36" t="n"/>
      <c r="D62" s="53">
        <f>IFERROR(C62/SUM(C$55:C$64),"")</f>
        <v/>
      </c>
      <c r="F62" t="n">
        <v>1</v>
      </c>
    </row>
    <row r="63">
      <c r="B63" s="47" t="inlineStr">
        <is>
          <t>Training / Professional Development</t>
        </is>
      </c>
      <c r="C63" s="36" t="n"/>
      <c r="D63" s="53">
        <f>IFERROR(C63/SUM(C$55:C$64),"")</f>
        <v/>
      </c>
      <c r="F63" t="n">
        <v>1</v>
      </c>
    </row>
    <row r="64">
      <c r="B64" s="47" t="inlineStr">
        <is>
          <t>Other</t>
        </is>
      </c>
      <c r="C64" s="36" t="n"/>
      <c r="D64" s="53">
        <f>IFERROR(C64/SUM(C$55:C$64),"")</f>
        <v/>
      </c>
      <c r="F64" t="n">
        <v>1</v>
      </c>
    </row>
    <row r="65">
      <c r="B65" s="49" t="inlineStr">
        <is>
          <t>TOTAL</t>
        </is>
      </c>
      <c r="C65" s="50">
        <f>SUM(C55:C64)</f>
        <v/>
      </c>
      <c r="D65" s="54">
        <f>IFERROR(SUM(D55:D64),"")</f>
        <v/>
      </c>
    </row>
    <row r="66" ht="48" customHeight="1">
      <c r="B66" s="43" t="inlineStr">
        <is>
          <t>If you listed time under Other, please explain:</t>
        </is>
      </c>
      <c r="C66" s="44" t="n"/>
      <c r="D66" s="28" t="n"/>
      <c r="E66" s="28" t="n"/>
      <c r="F66" t="n">
        <v>1</v>
      </c>
    </row>
    <row r="67" ht="48" customHeight="1">
      <c r="B67" s="43" t="inlineStr">
        <is>
          <t>Which activities take up the MOST time in your week?</t>
        </is>
      </c>
      <c r="C67" s="44" t="n"/>
      <c r="D67" s="28" t="n"/>
      <c r="E67" s="28" t="n"/>
      <c r="F67" t="n">
        <v>1</v>
      </c>
    </row>
    <row r="68" ht="48" customHeight="1">
      <c r="B68" s="43" t="inlineStr">
        <is>
          <t>Which activities are currently producing the MOST business for you?</t>
        </is>
      </c>
      <c r="C68" s="44" t="n"/>
      <c r="D68" s="28" t="n"/>
      <c r="E68" s="28" t="n"/>
      <c r="F68" t="n">
        <v>1</v>
      </c>
    </row>
    <row r="69" ht="48" customHeight="1">
      <c r="B69" s="43" t="inlineStr">
        <is>
          <t>What do you feel you are spending too much time doing?</t>
        </is>
      </c>
      <c r="C69" s="44" t="n"/>
      <c r="D69" s="28" t="n"/>
      <c r="E69" s="28" t="n"/>
      <c r="F69" t="n">
        <v>1</v>
      </c>
    </row>
    <row r="70" ht="48" customHeight="1">
      <c r="B70" s="43" t="inlineStr">
        <is>
          <t>What do you feel you are not spending enough time doing?</t>
        </is>
      </c>
      <c r="C70" s="44" t="n"/>
      <c r="D70" s="28" t="n"/>
      <c r="E70" s="28" t="n"/>
      <c r="F70" t="n">
        <v>1</v>
      </c>
    </row>
    <row r="72" ht="24" customHeight="1">
      <c r="A72" s="42" t="inlineStr">
        <is>
          <t>4. HOW DO YOU STRUCTURE YOUR DAY?</t>
        </is>
      </c>
    </row>
    <row r="73">
      <c r="B73" s="43" t="inlineStr">
        <is>
          <t>Do you currently plan your workday in advance?</t>
        </is>
      </c>
      <c r="C73" s="44" t="n"/>
      <c r="D73" s="28" t="n"/>
      <c r="E73" s="28" t="n"/>
      <c r="F73" t="n">
        <v>1</v>
      </c>
    </row>
    <row r="74">
      <c r="B74" s="43" t="inlineStr">
        <is>
          <t>Do you currently use time blocks for specific activities?</t>
        </is>
      </c>
      <c r="C74" s="44" t="n"/>
      <c r="D74" s="28" t="n"/>
      <c r="E74" s="28" t="n"/>
      <c r="F74" t="n">
        <v>1</v>
      </c>
    </row>
    <row r="75">
      <c r="B75" s="43" t="inlineStr">
        <is>
          <t>Do you have a dedicated prospecting period during your day?</t>
        </is>
      </c>
      <c r="C75" s="44" t="n"/>
      <c r="D75" s="28" t="n"/>
      <c r="E75" s="28" t="n"/>
      <c r="F75" t="n">
        <v>1</v>
      </c>
    </row>
    <row r="76">
      <c r="B76" s="43" t="inlineStr">
        <is>
          <t>If yes — typical prospecting time (e.g. 9:00–11:00 AM):</t>
        </is>
      </c>
      <c r="C76" s="44" t="n"/>
      <c r="D76" s="28" t="n"/>
      <c r="E76" s="28" t="n"/>
      <c r="F76" t="n">
        <v>1</v>
      </c>
    </row>
    <row r="77">
      <c r="B77" s="43" t="inlineStr">
        <is>
          <t>If yes — typical length:</t>
        </is>
      </c>
      <c r="C77" s="44" t="n"/>
      <c r="D77" s="28" t="n"/>
      <c r="E77" s="28" t="n"/>
      <c r="F77" t="n">
        <v>1</v>
      </c>
    </row>
    <row r="78" ht="48" customHeight="1">
      <c r="B78" s="43" t="inlineStr">
        <is>
          <t>When do you feel you are most productive during the day?</t>
        </is>
      </c>
      <c r="C78" s="44" t="n"/>
      <c r="D78" s="28" t="n"/>
      <c r="E78" s="28" t="n"/>
      <c r="F78" t="n">
        <v>1</v>
      </c>
    </row>
    <row r="79" ht="48" customHeight="1">
      <c r="B79" s="43" t="inlineStr">
        <is>
          <t>What normally causes your schedule to get off track?</t>
        </is>
      </c>
      <c r="C79" s="44" t="n"/>
      <c r="D79" s="28" t="n"/>
      <c r="E79" s="28" t="n"/>
      <c r="F79" t="n">
        <v>1</v>
      </c>
    </row>
    <row r="80" ht="48" customHeight="1">
      <c r="B80" s="43" t="inlineStr">
        <is>
          <t>What is the first business-producing activity you normally do each day?</t>
        </is>
      </c>
      <c r="C80" s="44" t="n"/>
      <c r="D80" s="28" t="n"/>
      <c r="E80" s="28" t="n"/>
      <c r="F80" t="n">
        <v>1</v>
      </c>
    </row>
    <row r="81" ht="48" customHeight="1">
      <c r="B81" s="43" t="inlineStr">
        <is>
          <t>What usually consumes more time than you intended?</t>
        </is>
      </c>
      <c r="C81" s="44" t="n"/>
      <c r="D81" s="28" t="n"/>
      <c r="E81" s="28" t="n"/>
      <c r="F81" t="n">
        <v>1</v>
      </c>
    </row>
    <row r="83" ht="24" customHeight="1">
      <c r="A83" s="42" t="inlineStr">
        <is>
          <t>5. HOW ARE YOU CURRENTLY GENERATING BUSINESS?</t>
        </is>
      </c>
    </row>
    <row r="84" ht="28" customHeight="1">
      <c r="A84" s="45" t="inlineStr">
        <is>
          <t>Activity level: 0 = Not currently using · 1 = Occasionally · 3 = Consistently · 5 = Major part of my business</t>
        </is>
      </c>
    </row>
    <row r="85">
      <c r="B85" s="46" t="inlineStr">
        <is>
          <t>Business Development Source</t>
        </is>
      </c>
      <c r="C85" s="46" t="inlineStr">
        <is>
          <t>Activity Level 0–5</t>
        </is>
      </c>
      <c r="D85" s="46" t="inlineStr">
        <is>
          <t>Generated a Real Opportunity?</t>
        </is>
      </c>
    </row>
    <row r="86">
      <c r="B86" s="47" t="inlineStr">
        <is>
          <t>Cold Calling Property Owners</t>
        </is>
      </c>
      <c r="C86" s="36" t="n"/>
      <c r="D86" s="36" t="n"/>
      <c r="F86" t="n">
        <v>1</v>
      </c>
    </row>
    <row r="87">
      <c r="B87" s="47" t="inlineStr">
        <is>
          <t>Calling Businesses / Tenants</t>
        </is>
      </c>
      <c r="C87" s="36" t="n"/>
      <c r="D87" s="36" t="n"/>
      <c r="F87" t="n">
        <v>1</v>
      </c>
    </row>
    <row r="88">
      <c r="B88" s="47" t="inlineStr">
        <is>
          <t>Sphere of Influence</t>
        </is>
      </c>
      <c r="C88" s="36" t="n"/>
      <c r="D88" s="36" t="n"/>
      <c r="F88" t="n">
        <v>1</v>
      </c>
    </row>
    <row r="89">
      <c r="B89" s="47" t="inlineStr">
        <is>
          <t>Past Clients</t>
        </is>
      </c>
      <c r="C89" s="36" t="n"/>
      <c r="D89" s="36" t="n"/>
      <c r="F89" t="n">
        <v>1</v>
      </c>
    </row>
    <row r="90">
      <c r="B90" s="47" t="inlineStr">
        <is>
          <t>Current Clients</t>
        </is>
      </c>
      <c r="C90" s="36" t="n"/>
      <c r="D90" s="36" t="n"/>
      <c r="F90" t="n">
        <v>1</v>
      </c>
    </row>
    <row r="91">
      <c r="B91" s="47" t="inlineStr">
        <is>
          <t>KW Residential Agent Referrals</t>
        </is>
      </c>
      <c r="C91" s="36" t="n"/>
      <c r="D91" s="36" t="n"/>
      <c r="F91" t="n">
        <v>1</v>
      </c>
    </row>
    <row r="92">
      <c r="B92" s="47" t="inlineStr">
        <is>
          <t>KW Commercial Referrals</t>
        </is>
      </c>
      <c r="C92" s="36" t="n"/>
      <c r="D92" s="36" t="n"/>
      <c r="F92" t="n">
        <v>1</v>
      </c>
    </row>
    <row r="93">
      <c r="B93" s="47" t="inlineStr">
        <is>
          <t>Outside Broker Referrals</t>
        </is>
      </c>
      <c r="C93" s="36" t="n"/>
      <c r="D93" s="36" t="n"/>
      <c r="F93" t="n">
        <v>1</v>
      </c>
    </row>
    <row r="94">
      <c r="B94" s="47" t="inlineStr">
        <is>
          <t>Attorneys</t>
        </is>
      </c>
      <c r="C94" s="36" t="n"/>
      <c r="D94" s="36" t="n"/>
      <c r="F94" t="n">
        <v>1</v>
      </c>
    </row>
    <row r="95">
      <c r="B95" s="47" t="inlineStr">
        <is>
          <t>CPAs / Accountants</t>
        </is>
      </c>
      <c r="C95" s="36" t="n"/>
      <c r="D95" s="36" t="n"/>
      <c r="F95" t="n">
        <v>1</v>
      </c>
    </row>
    <row r="96">
      <c r="B96" s="47" t="inlineStr">
        <is>
          <t>Lenders / Bankers</t>
        </is>
      </c>
      <c r="C96" s="36" t="n"/>
      <c r="D96" s="36" t="n"/>
      <c r="F96" t="n">
        <v>1</v>
      </c>
    </row>
    <row r="97">
      <c r="B97" s="47" t="inlineStr">
        <is>
          <t>Developers / Builders</t>
        </is>
      </c>
      <c r="C97" s="36" t="n"/>
      <c r="D97" s="36" t="n"/>
      <c r="F97" t="n">
        <v>1</v>
      </c>
    </row>
    <row r="98">
      <c r="B98" s="47" t="inlineStr">
        <is>
          <t>Investors</t>
        </is>
      </c>
      <c r="C98" s="36" t="n"/>
      <c r="D98" s="36" t="n"/>
      <c r="F98" t="n">
        <v>1</v>
      </c>
    </row>
    <row r="99">
      <c r="B99" s="47" t="inlineStr">
        <is>
          <t>Business Owners</t>
        </is>
      </c>
      <c r="C99" s="36" t="n"/>
      <c r="D99" s="36" t="n"/>
      <c r="F99" t="n">
        <v>1</v>
      </c>
    </row>
    <row r="100">
      <c r="B100" s="47" t="inlineStr">
        <is>
          <t>Networking Organizations</t>
        </is>
      </c>
      <c r="C100" s="36" t="n"/>
      <c r="D100" s="36" t="n"/>
      <c r="F100" t="n">
        <v>1</v>
      </c>
    </row>
    <row r="101">
      <c r="B101" s="47" t="inlineStr">
        <is>
          <t>Email Campaigns</t>
        </is>
      </c>
      <c r="C101" s="36" t="n"/>
      <c r="D101" s="36" t="n"/>
      <c r="F101" t="n">
        <v>1</v>
      </c>
    </row>
    <row r="102">
      <c r="B102" s="47" t="inlineStr">
        <is>
          <t>Direct Mail</t>
        </is>
      </c>
      <c r="C102" s="36" t="n"/>
      <c r="D102" s="36" t="n"/>
      <c r="F102" t="n">
        <v>1</v>
      </c>
    </row>
    <row r="103">
      <c r="B103" s="47" t="inlineStr">
        <is>
          <t>Social Media / Content</t>
        </is>
      </c>
      <c r="C103" s="36" t="n"/>
      <c r="D103" s="36" t="n"/>
      <c r="F103" t="n">
        <v>1</v>
      </c>
    </row>
    <row r="104">
      <c r="B104" s="47" t="inlineStr">
        <is>
          <t>Crexi / Online Platforms</t>
        </is>
      </c>
      <c r="C104" s="36" t="n"/>
      <c r="D104" s="36" t="n"/>
      <c r="F104" t="n">
        <v>1</v>
      </c>
    </row>
    <row r="105">
      <c r="B105" s="47" t="inlineStr">
        <is>
          <t>Database / CRM Follow-Up</t>
        </is>
      </c>
      <c r="C105" s="36" t="n"/>
      <c r="D105" s="36" t="n"/>
      <c r="F105" t="n">
        <v>1</v>
      </c>
    </row>
    <row r="106">
      <c r="B106" s="47" t="inlineStr">
        <is>
          <t>Property Visits / Canvassing</t>
        </is>
      </c>
      <c r="C106" s="36" t="n"/>
      <c r="D106" s="36" t="n"/>
      <c r="F106" t="n">
        <v>1</v>
      </c>
    </row>
    <row r="107">
      <c r="B107" s="47" t="inlineStr">
        <is>
          <t>Market Center Relationships</t>
        </is>
      </c>
      <c r="C107" s="36" t="n"/>
      <c r="D107" s="36" t="n"/>
      <c r="F107" t="n">
        <v>1</v>
      </c>
    </row>
    <row r="108">
      <c r="B108" s="47" t="inlineStr">
        <is>
          <t>Other</t>
        </is>
      </c>
      <c r="C108" s="36" t="n"/>
      <c r="D108" s="36" t="n"/>
      <c r="F108" t="n">
        <v>1</v>
      </c>
    </row>
    <row r="109" ht="48" customHeight="1">
      <c r="B109" s="43" t="inlineStr">
        <is>
          <t>If Other, please explain:</t>
        </is>
      </c>
      <c r="C109" s="44" t="n"/>
      <c r="D109" s="28" t="n"/>
      <c r="E109" s="28" t="n"/>
      <c r="F109" t="n">
        <v>1</v>
      </c>
    </row>
    <row r="110" ht="48" customHeight="1">
      <c r="B110" s="43" t="inlineStr">
        <is>
          <t>What are currently your TOP THREE sources of business?</t>
        </is>
      </c>
      <c r="C110" s="44" t="n"/>
      <c r="D110" s="28" t="n"/>
      <c r="E110" s="28" t="n"/>
      <c r="F110" t="n">
        <v>1</v>
      </c>
    </row>
    <row r="111" ht="48" customHeight="1">
      <c r="B111" s="43" t="inlineStr">
        <is>
          <t>Which one has produced the most actual opportunities or transactions?</t>
        </is>
      </c>
      <c r="C111" s="44" t="n"/>
      <c r="D111" s="28" t="n"/>
      <c r="E111" s="28" t="n"/>
      <c r="F111" t="n">
        <v>1</v>
      </c>
    </row>
    <row r="112" ht="48" customHeight="1">
      <c r="B112" s="43" t="inlineStr">
        <is>
          <t>Which business-development channel do you believe you should be using more?</t>
        </is>
      </c>
      <c r="C112" s="44" t="n"/>
      <c r="D112" s="28" t="n"/>
      <c r="E112" s="28" t="n"/>
      <c r="F112" t="n">
        <v>1</v>
      </c>
    </row>
    <row r="114" ht="24" customHeight="1">
      <c r="A114" s="42" t="inlineStr">
        <is>
          <t>6. YOUR MARKET CENTER</t>
        </is>
      </c>
    </row>
    <row r="115" ht="48" customHeight="1">
      <c r="B115" s="43" t="inlineStr">
        <is>
          <t>How have you been developing relationships within your Market Center?</t>
        </is>
      </c>
      <c r="C115" s="44" t="n"/>
      <c r="D115" s="28" t="n"/>
      <c r="E115" s="28" t="n"/>
      <c r="F115" t="n">
        <v>1</v>
      </c>
    </row>
    <row r="116">
      <c r="B116" s="43" t="inlineStr">
        <is>
          <t>How many residential agents in your Market Center know that you handle commercial real estate?</t>
        </is>
      </c>
      <c r="C116" s="44" t="n"/>
      <c r="D116" s="28" t="n"/>
      <c r="E116" s="28" t="n"/>
      <c r="F116" t="n">
        <v>1</v>
      </c>
    </row>
    <row r="117">
      <c r="B117" s="48" t="inlineStr">
        <is>
          <t>What have you done to generate commercial referrals from your Market Center?  (select Yes for all that apply)</t>
        </is>
      </c>
    </row>
    <row r="118">
      <c r="B118" s="47" t="inlineStr">
        <is>
          <t xml:space="preserve">      Introduced myself individually to agents</t>
        </is>
      </c>
      <c r="C118" s="36" t="n"/>
    </row>
    <row r="119">
      <c r="B119" s="47" t="inlineStr">
        <is>
          <t xml:space="preserve">      Attended team/office meetings</t>
        </is>
      </c>
      <c r="C119" s="36" t="n"/>
    </row>
    <row r="120">
      <c r="B120" s="47" t="inlineStr">
        <is>
          <t xml:space="preserve">      Given commercial real estate presentations</t>
        </is>
      </c>
      <c r="C120" s="36" t="n"/>
    </row>
    <row r="121">
      <c r="B121" s="47" t="inlineStr">
        <is>
          <t xml:space="preserve">      Shared commercial opportunities/listings</t>
        </is>
      </c>
      <c r="C121" s="36" t="n"/>
    </row>
    <row r="122">
      <c r="B122" s="47" t="inlineStr">
        <is>
          <t xml:space="preserve">      Asked agents directly for referrals</t>
        </is>
      </c>
      <c r="C122" s="36" t="n"/>
    </row>
    <row r="123">
      <c r="B123" s="47" t="inlineStr">
        <is>
          <t xml:space="preserve">      Helped agents with commercial questions</t>
        </is>
      </c>
      <c r="C123" s="36" t="n"/>
    </row>
    <row r="124">
      <c r="B124" s="47" t="inlineStr">
        <is>
          <t xml:space="preserve">      Developed relationships with leadership</t>
        </is>
      </c>
      <c r="C124" s="36" t="n"/>
    </row>
    <row r="125">
      <c r="B125" s="47" t="inlineStr">
        <is>
          <t xml:space="preserve">      Participated in office events</t>
        </is>
      </c>
      <c r="C125" s="36" t="n"/>
    </row>
    <row r="126">
      <c r="B126" s="47" t="inlineStr">
        <is>
          <t xml:space="preserve">      Sent emails/newsletters to agents</t>
        </is>
      </c>
      <c r="C126" s="36" t="n"/>
    </row>
    <row r="127">
      <c r="B127" s="47" t="inlineStr">
        <is>
          <t xml:space="preserve">      Shared CRE educational content</t>
        </is>
      </c>
      <c r="C127" s="36" t="n"/>
    </row>
    <row r="128">
      <c r="B128" s="47" t="inlineStr">
        <is>
          <t xml:space="preserve">      Nothing consistently yet</t>
        </is>
      </c>
      <c r="C128" s="36" t="n"/>
    </row>
    <row r="129">
      <c r="B129" s="47" t="inlineStr">
        <is>
          <t xml:space="preserve">      Other (describe →)</t>
        </is>
      </c>
      <c r="C129" s="36" t="n"/>
      <c r="D129" s="28" t="n"/>
    </row>
    <row r="130">
      <c r="B130" s="43" t="inlineStr">
        <is>
          <t>Meaningful conversations with Market Center agents in a typical month:</t>
        </is>
      </c>
      <c r="C130" s="44" t="n"/>
      <c r="D130" s="28" t="n"/>
      <c r="E130" s="28" t="n"/>
      <c r="F130" t="n">
        <v>1</v>
      </c>
    </row>
    <row r="131">
      <c r="B131" s="43" t="inlineStr">
        <is>
          <t>Commercial referrals received from your Market Center in the past 90 days:</t>
        </is>
      </c>
      <c r="C131" s="44" t="n"/>
      <c r="D131" s="28" t="n"/>
      <c r="E131" s="28" t="n"/>
      <c r="F131" t="n">
        <v>1</v>
      </c>
    </row>
    <row r="132" ht="48" customHeight="1">
      <c r="B132" s="43" t="inlineStr">
        <is>
          <t>What could you do differently over the next 90 days to become the commercial resource within your office?</t>
        </is>
      </c>
      <c r="C132" s="44" t="n"/>
      <c r="D132" s="28" t="n"/>
      <c r="E132" s="28" t="n"/>
      <c r="F132" t="n">
        <v>1</v>
      </c>
    </row>
    <row r="134" ht="24" customHeight="1">
      <c r="A134" s="42" t="inlineStr">
        <is>
          <t>7. YOUR SPHERE OF INFLUENCE</t>
        </is>
      </c>
    </row>
    <row r="135">
      <c r="B135" s="48" t="inlineStr">
        <is>
          <t>Who currently knows that you work in commercial real estate?  (select Yes for all that apply)</t>
        </is>
      </c>
    </row>
    <row r="136">
      <c r="B136" s="47" t="inlineStr">
        <is>
          <t xml:space="preserve">      Friends / Family</t>
        </is>
      </c>
      <c r="C136" s="36" t="n"/>
    </row>
    <row r="137">
      <c r="B137" s="47" t="inlineStr">
        <is>
          <t xml:space="preserve">      Former Clients</t>
        </is>
      </c>
      <c r="C137" s="36" t="n"/>
    </row>
    <row r="138">
      <c r="B138" s="47" t="inlineStr">
        <is>
          <t xml:space="preserve">      Residential Clients</t>
        </is>
      </c>
      <c r="C138" s="36" t="n"/>
    </row>
    <row r="139">
      <c r="B139" s="47" t="inlineStr">
        <is>
          <t xml:space="preserve">      Business Owners</t>
        </is>
      </c>
      <c r="C139" s="36" t="n"/>
    </row>
    <row r="140">
      <c r="B140" s="47" t="inlineStr">
        <is>
          <t xml:space="preserve">      Investors</t>
        </is>
      </c>
      <c r="C140" s="36" t="n"/>
    </row>
    <row r="141">
      <c r="B141" s="47" t="inlineStr">
        <is>
          <t xml:space="preserve">      Attorneys</t>
        </is>
      </c>
      <c r="C141" s="36" t="n"/>
    </row>
    <row r="142">
      <c r="B142" s="47" t="inlineStr">
        <is>
          <t xml:space="preserve">      CPAs</t>
        </is>
      </c>
      <c r="C142" s="36" t="n"/>
    </row>
    <row r="143">
      <c r="B143" s="47" t="inlineStr">
        <is>
          <t xml:space="preserve">      Lenders</t>
        </is>
      </c>
      <c r="C143" s="36" t="n"/>
    </row>
    <row r="144">
      <c r="B144" s="47" t="inlineStr">
        <is>
          <t xml:space="preserve">      Developers</t>
        </is>
      </c>
      <c r="C144" s="36" t="n"/>
    </row>
    <row r="145">
      <c r="B145" s="47" t="inlineStr">
        <is>
          <t xml:space="preserve">      Contractors</t>
        </is>
      </c>
      <c r="C145" s="36" t="n"/>
    </row>
    <row r="146">
      <c r="B146" s="47" t="inlineStr">
        <is>
          <t xml:space="preserve">      Other Brokers</t>
        </is>
      </c>
      <c r="C146" s="36" t="n"/>
    </row>
    <row r="147">
      <c r="B147" s="47" t="inlineStr">
        <is>
          <t xml:space="preserve">      Community Organizations</t>
        </is>
      </c>
      <c r="C147" s="36" t="n"/>
    </row>
    <row r="148">
      <c r="B148" s="47" t="inlineStr">
        <is>
          <t xml:space="preserve">      Other (describe →)</t>
        </is>
      </c>
      <c r="C148" s="36" t="n"/>
      <c r="D148" s="28" t="n"/>
    </row>
    <row r="149">
      <c r="B149" s="43" t="inlineStr">
        <is>
          <t>Approximately how many people are part of your professional sphere today?</t>
        </is>
      </c>
      <c r="C149" s="44" t="n"/>
      <c r="D149" s="28" t="n"/>
      <c r="E149" s="28" t="n"/>
      <c r="F149" t="n">
        <v>1</v>
      </c>
    </row>
    <row r="150">
      <c r="B150" s="43" t="inlineStr">
        <is>
          <t>How often are you intentionally communicating with your sphere?</t>
        </is>
      </c>
      <c r="C150" s="44" t="n"/>
      <c r="D150" s="28" t="n"/>
      <c r="E150" s="28" t="n"/>
      <c r="F150" t="n">
        <v>1</v>
      </c>
    </row>
    <row r="151" ht="48" customHeight="1">
      <c r="B151" s="43" t="inlineStr">
        <is>
          <t>What are you currently doing to grow your sphere?</t>
        </is>
      </c>
      <c r="C151" s="44" t="n"/>
      <c r="D151" s="28" t="n"/>
      <c r="E151" s="28" t="n"/>
      <c r="F151" t="n">
        <v>1</v>
      </c>
    </row>
    <row r="152" ht="48" customHeight="1">
      <c r="B152" s="43" t="inlineStr">
        <is>
          <t>Five people or categories of people you should be building stronger relationships with:</t>
        </is>
      </c>
      <c r="C152" s="44" t="n"/>
      <c r="D152" s="28" t="n"/>
      <c r="E152" s="28" t="n"/>
      <c r="F152" t="n">
        <v>1</v>
      </c>
    </row>
    <row r="154" ht="24" customHeight="1">
      <c r="A154" s="42" t="inlineStr">
        <is>
          <t>8. MARKET &amp; PRODUCT FOCUS</t>
        </is>
      </c>
    </row>
    <row r="155">
      <c r="B155" s="43" t="inlineStr">
        <is>
          <t>Do you currently have a defined commercial real estate focus?</t>
        </is>
      </c>
      <c r="C155" s="44" t="n"/>
      <c r="D155" s="28" t="n"/>
      <c r="E155" s="28" t="n"/>
      <c r="F155" t="n">
        <v>1</v>
      </c>
    </row>
    <row r="156">
      <c r="B156" s="43" t="inlineStr">
        <is>
          <t>Are you focusing on a particular geographic area?</t>
        </is>
      </c>
      <c r="C156" s="44" t="n"/>
      <c r="D156" s="28" t="n"/>
      <c r="E156" s="28" t="n"/>
      <c r="F156" t="n">
        <v>1</v>
      </c>
    </row>
    <row r="157">
      <c r="B157" s="43" t="inlineStr">
        <is>
          <t>Primary Market:</t>
        </is>
      </c>
      <c r="C157" s="44" t="n"/>
      <c r="D157" s="28" t="n"/>
      <c r="E157" s="28" t="n"/>
      <c r="F157" t="n">
        <v>1</v>
      </c>
    </row>
    <row r="158">
      <c r="B158" s="43" t="inlineStr">
        <is>
          <t>Secondary Market:</t>
        </is>
      </c>
      <c r="C158" s="44" t="n"/>
      <c r="D158" s="28" t="n"/>
      <c r="E158" s="28" t="n"/>
      <c r="F158" t="n">
        <v>1</v>
      </c>
    </row>
    <row r="159" ht="48" customHeight="1">
      <c r="B159" s="43" t="inlineStr">
        <is>
          <t>Specific submarkets / corridors / neighborhoods:</t>
        </is>
      </c>
      <c r="C159" s="44" t="n"/>
      <c r="D159" s="28" t="n"/>
      <c r="E159" s="28" t="n"/>
      <c r="F159" t="n">
        <v>1</v>
      </c>
    </row>
    <row r="160">
      <c r="B160" s="48" t="inlineStr">
        <is>
          <t>Which property types are you currently pursuing?  (select Yes for all that apply)</t>
        </is>
      </c>
    </row>
    <row r="161">
      <c r="B161" s="47" t="inlineStr">
        <is>
          <t xml:space="preserve">      Retail</t>
        </is>
      </c>
      <c r="C161" s="36" t="n"/>
    </row>
    <row r="162">
      <c r="B162" s="47" t="inlineStr">
        <is>
          <t xml:space="preserve">      Office</t>
        </is>
      </c>
      <c r="C162" s="36" t="n"/>
    </row>
    <row r="163">
      <c r="B163" s="47" t="inlineStr">
        <is>
          <t xml:space="preserve">      Industrial</t>
        </is>
      </c>
      <c r="C163" s="36" t="n"/>
    </row>
    <row r="164">
      <c r="B164" s="47" t="inlineStr">
        <is>
          <t xml:space="preserve">      Land</t>
        </is>
      </c>
      <c r="C164" s="36" t="n"/>
    </row>
    <row r="165">
      <c r="B165" s="47" t="inlineStr">
        <is>
          <t xml:space="preserve">      Multifamily</t>
        </is>
      </c>
      <c r="C165" s="36" t="n"/>
    </row>
    <row r="166">
      <c r="B166" s="47" t="inlineStr">
        <is>
          <t xml:space="preserve">      Medical / Healthcare</t>
        </is>
      </c>
      <c r="C166" s="36" t="n"/>
    </row>
    <row r="167">
      <c r="B167" s="47" t="inlineStr">
        <is>
          <t xml:space="preserve">      Hospitality</t>
        </is>
      </c>
      <c r="C167" s="36" t="n"/>
    </row>
    <row r="168">
      <c r="B168" s="47" t="inlineStr">
        <is>
          <t xml:space="preserve">      Investment Sales</t>
        </is>
      </c>
      <c r="C168" s="36" t="n"/>
    </row>
    <row r="169">
      <c r="B169" s="47" t="inlineStr">
        <is>
          <t xml:space="preserve">      Development</t>
        </is>
      </c>
      <c r="C169" s="36" t="n"/>
    </row>
    <row r="170">
      <c r="B170" s="47" t="inlineStr">
        <is>
          <t xml:space="preserve">      Business Brokerage</t>
        </is>
      </c>
      <c r="C170" s="36" t="n"/>
    </row>
    <row r="171">
      <c r="B171" s="47" t="inlineStr">
        <is>
          <t xml:space="preserve">      Other (describe →)</t>
        </is>
      </c>
      <c r="C171" s="36" t="n"/>
      <c r="D171" s="28" t="n"/>
    </row>
    <row r="172" ht="48" customHeight="1">
      <c r="B172" s="43" t="inlineStr">
        <is>
          <t>Which ONE or TWO areas would you most like to become known for?</t>
        </is>
      </c>
      <c r="C172" s="44" t="n"/>
      <c r="D172" s="28" t="n"/>
      <c r="E172" s="28" t="n"/>
      <c r="F172" t="n">
        <v>1</v>
      </c>
    </row>
    <row r="173" ht="48" customHeight="1">
      <c r="B173" s="43" t="inlineStr">
        <is>
          <t>If someone asked you today, “What type of commercial real estate do you specialize in?” what would you say?</t>
        </is>
      </c>
      <c r="C173" s="44" t="n"/>
      <c r="D173" s="28" t="n"/>
      <c r="E173" s="28" t="n"/>
      <c r="F173" t="n">
        <v>1</v>
      </c>
    </row>
    <row r="174" ht="48" customHeight="1">
      <c r="B174" s="43" t="inlineStr">
        <is>
          <t>Do you feel confident saying that? Why or why not?</t>
        </is>
      </c>
      <c r="C174" s="44" t="n"/>
      <c r="D174" s="28" t="n"/>
      <c r="E174" s="28" t="n"/>
      <c r="F174" t="n">
        <v>1</v>
      </c>
    </row>
    <row r="176" ht="24" customHeight="1">
      <c r="A176" s="42" t="inlineStr">
        <is>
          <t>9. CURRENT COMMERCIAL PIPELINE</t>
        </is>
      </c>
    </row>
    <row r="177" ht="28" customHeight="1">
      <c r="A177" s="45" t="inlineStr">
        <is>
          <t>Do your best. Exact numbers are not required.</t>
        </is>
      </c>
    </row>
    <row r="178">
      <c r="B178" s="46" t="inlineStr">
        <is>
          <t>Category</t>
        </is>
      </c>
      <c r="C178" s="46" t="inlineStr">
        <is>
          <t>#</t>
        </is>
      </c>
      <c r="D178" s="46" t="inlineStr">
        <is>
          <t>Approx. Transaction Volume</t>
        </is>
      </c>
      <c r="E178" s="46" t="inlineStr">
        <is>
          <t>Potential GCI</t>
        </is>
      </c>
    </row>
    <row r="179">
      <c r="B179" s="47" t="inlineStr">
        <is>
          <t>Active Listings</t>
        </is>
      </c>
      <c r="C179" s="36" t="n"/>
      <c r="D179" s="37" t="n"/>
      <c r="E179" s="37" t="n"/>
      <c r="F179" t="n">
        <v>1</v>
      </c>
    </row>
    <row r="180">
      <c r="B180" s="47" t="inlineStr">
        <is>
          <t>Buyer Assignments</t>
        </is>
      </c>
      <c r="C180" s="36" t="n"/>
      <c r="D180" s="37" t="n"/>
      <c r="E180" s="37" t="n"/>
      <c r="F180" t="n">
        <v>1</v>
      </c>
    </row>
    <row r="181">
      <c r="B181" s="47" t="inlineStr">
        <is>
          <t>Tenant Representation</t>
        </is>
      </c>
      <c r="C181" s="36" t="n"/>
      <c r="D181" s="37" t="n"/>
      <c r="E181" s="37" t="n"/>
      <c r="F181" t="n">
        <v>1</v>
      </c>
    </row>
    <row r="182">
      <c r="B182" s="47" t="inlineStr">
        <is>
          <t>Landlord Representation</t>
        </is>
      </c>
      <c r="C182" s="36" t="n"/>
      <c r="D182" s="37" t="n"/>
      <c r="E182" s="37" t="n"/>
      <c r="F182" t="n">
        <v>1</v>
      </c>
    </row>
    <row r="183">
      <c r="B183" s="47" t="inlineStr">
        <is>
          <t>Active LOIs</t>
        </is>
      </c>
      <c r="C183" s="36" t="n"/>
      <c r="D183" s="37" t="n"/>
      <c r="E183" s="37" t="n"/>
      <c r="F183" t="n">
        <v>1</v>
      </c>
    </row>
    <row r="184">
      <c r="B184" s="47" t="inlineStr">
        <is>
          <t>Under Contract</t>
        </is>
      </c>
      <c r="C184" s="36" t="n"/>
      <c r="D184" s="37" t="n"/>
      <c r="E184" s="37" t="n"/>
      <c r="F184" t="n">
        <v>1</v>
      </c>
    </row>
    <row r="185">
      <c r="B185" s="47" t="inlineStr">
        <is>
          <t>Qualified Prospects</t>
        </is>
      </c>
      <c r="C185" s="36" t="n"/>
      <c r="D185" s="37" t="n"/>
      <c r="E185" s="37" t="n"/>
      <c r="F185" t="n">
        <v>1</v>
      </c>
    </row>
    <row r="186">
      <c r="B186" s="47" t="inlineStr">
        <is>
          <t>Early-Stage Opportunities</t>
        </is>
      </c>
      <c r="C186" s="36" t="n"/>
      <c r="D186" s="37" t="n"/>
      <c r="E186" s="37" t="n"/>
      <c r="F186" t="n">
        <v>1</v>
      </c>
    </row>
    <row r="187">
      <c r="B187" s="49" t="inlineStr">
        <is>
          <t>TOTAL</t>
        </is>
      </c>
      <c r="C187" s="50">
        <f>SUM(C179:C186)</f>
        <v/>
      </c>
      <c r="D187" s="55">
        <f>SUM(D179:D186)</f>
        <v/>
      </c>
      <c r="E187" s="55">
        <f>SUM(E179:E186)</f>
        <v/>
      </c>
    </row>
    <row r="188">
      <c r="B188" s="43" t="inlineStr">
        <is>
          <t>New commercial opportunities created in the last 30 days:</t>
        </is>
      </c>
      <c r="C188" s="44" t="n"/>
      <c r="D188" s="28" t="n"/>
      <c r="E188" s="28" t="n"/>
      <c r="F188" t="n">
        <v>1</v>
      </c>
    </row>
    <row r="189">
      <c r="B189" s="43" t="inlineStr">
        <is>
          <t>Prospect/client meetings in the last 30 days:</t>
        </is>
      </c>
      <c r="C189" s="44" t="n"/>
      <c r="D189" s="28" t="n"/>
      <c r="E189" s="28" t="n"/>
      <c r="F189" t="n">
        <v>1</v>
      </c>
    </row>
    <row r="190">
      <c r="B190" s="43" t="inlineStr">
        <is>
          <t>New people added to your commercial database in the last 30 days:</t>
        </is>
      </c>
      <c r="C190" s="44" t="n"/>
      <c r="D190" s="28" t="n"/>
      <c r="E190" s="28" t="n"/>
      <c r="F190" t="n">
        <v>1</v>
      </c>
    </row>
    <row r="191">
      <c r="B191" s="43" t="inlineStr">
        <is>
          <t>How many follow-ups are currently outstanding? (number or “Unsure”)</t>
        </is>
      </c>
      <c r="C191" s="44" t="n"/>
      <c r="D191" s="28" t="n"/>
      <c r="E191" s="28" t="n"/>
      <c r="F191" t="n">
        <v>1</v>
      </c>
    </row>
    <row r="192">
      <c r="B192" s="43" t="inlineStr">
        <is>
          <t>Do you currently know what your commercial pipeline is worth in potential GCI?</t>
        </is>
      </c>
      <c r="C192" s="44" t="n"/>
      <c r="D192" s="28" t="n"/>
      <c r="E192" s="28" t="n"/>
      <c r="F192" t="n">
        <v>1</v>
      </c>
    </row>
    <row r="194" ht="24" customHeight="1">
      <c r="A194" s="42" t="inlineStr">
        <is>
          <t>10. SKILLS &amp; CONFIDENCE ASSESSMENT</t>
        </is>
      </c>
    </row>
    <row r="195" ht="28" customHeight="1">
      <c r="A195" s="45" t="inlineStr">
        <is>
          <t>Rate yourself honestly.  1 = Need substantial help · 3 = Comfortable · 5 = Strong enough to teach someone else</t>
        </is>
      </c>
    </row>
    <row r="196">
      <c r="B196" s="46" t="inlineStr">
        <is>
          <t>Area</t>
        </is>
      </c>
      <c r="C196" s="46" t="inlineStr">
        <is>
          <t>Score 1–5</t>
        </is>
      </c>
    </row>
    <row r="197">
      <c r="B197" s="47" t="inlineStr">
        <is>
          <t>Cold Calling</t>
        </is>
      </c>
      <c r="C197" s="36" t="n"/>
      <c r="F197" t="n">
        <v>1</v>
      </c>
    </row>
    <row r="198">
      <c r="B198" s="47" t="inlineStr">
        <is>
          <t>Prospecting</t>
        </is>
      </c>
      <c r="C198" s="36" t="n"/>
      <c r="F198" t="n">
        <v>1</v>
      </c>
    </row>
    <row r="199">
      <c r="B199" s="47" t="inlineStr">
        <is>
          <t>Building Prospect Lists</t>
        </is>
      </c>
      <c r="C199" s="36" t="n"/>
      <c r="F199" t="n">
        <v>1</v>
      </c>
    </row>
    <row r="200">
      <c r="B200" s="47" t="inlineStr">
        <is>
          <t>Getting Decision Makers on the Phone</t>
        </is>
      </c>
      <c r="C200" s="36" t="n"/>
      <c r="F200" t="n">
        <v>1</v>
      </c>
    </row>
    <row r="201">
      <c r="B201" s="47" t="inlineStr">
        <is>
          <t>Converting Conversations into Meetings</t>
        </is>
      </c>
      <c r="C201" s="36" t="n"/>
      <c r="F201" t="n">
        <v>1</v>
      </c>
    </row>
    <row r="202">
      <c r="B202" s="47" t="inlineStr">
        <is>
          <t>Discovery Meetings</t>
        </is>
      </c>
      <c r="C202" s="36" t="n"/>
      <c r="F202" t="n">
        <v>1</v>
      </c>
    </row>
    <row r="203">
      <c r="B203" s="47" t="inlineStr">
        <is>
          <t>Listing Presentations</t>
        </is>
      </c>
      <c r="C203" s="36" t="n"/>
      <c r="F203" t="n">
        <v>1</v>
      </c>
    </row>
    <row r="204">
      <c r="B204" s="47" t="inlineStr">
        <is>
          <t>Buyer / Tenant Presentations</t>
        </is>
      </c>
      <c r="C204" s="36" t="n"/>
      <c r="F204" t="n">
        <v>1</v>
      </c>
    </row>
    <row r="205">
      <c r="B205" s="47" t="inlineStr">
        <is>
          <t>Market Research</t>
        </is>
      </c>
      <c r="C205" s="36" t="n"/>
      <c r="F205" t="n">
        <v>1</v>
      </c>
    </row>
    <row r="206">
      <c r="B206" s="47" t="inlineStr">
        <is>
          <t>Land id</t>
        </is>
      </c>
      <c r="C206" s="36" t="n"/>
      <c r="F206" t="n">
        <v>1</v>
      </c>
    </row>
    <row r="207">
      <c r="B207" s="47" t="inlineStr">
        <is>
          <t>Crexi</t>
        </is>
      </c>
      <c r="C207" s="36" t="n"/>
      <c r="F207" t="n">
        <v>1</v>
      </c>
    </row>
    <row r="208">
      <c r="B208" s="47" t="inlineStr">
        <is>
          <t>GIS</t>
        </is>
      </c>
      <c r="C208" s="36" t="n"/>
      <c r="F208" t="n">
        <v>1</v>
      </c>
    </row>
    <row r="209">
      <c r="B209" s="47" t="inlineStr">
        <is>
          <t>CRM / Database Management</t>
        </is>
      </c>
      <c r="C209" s="36" t="n"/>
      <c r="F209" t="n">
        <v>1</v>
      </c>
    </row>
    <row r="210">
      <c r="B210" s="47" t="inlineStr">
        <is>
          <t>Financial Underwriting</t>
        </is>
      </c>
      <c r="C210" s="36" t="n"/>
      <c r="F210" t="n">
        <v>1</v>
      </c>
    </row>
    <row r="211">
      <c r="B211" s="47" t="inlineStr">
        <is>
          <t>NOI / Cap Rate / Valuation</t>
        </is>
      </c>
      <c r="C211" s="36" t="n"/>
      <c r="F211" t="n">
        <v>1</v>
      </c>
    </row>
    <row r="212">
      <c r="B212" s="47" t="inlineStr">
        <is>
          <t>BOV Preparation</t>
        </is>
      </c>
      <c r="C212" s="36" t="n"/>
      <c r="F212" t="n">
        <v>1</v>
      </c>
    </row>
    <row r="213">
      <c r="B213" s="47" t="inlineStr">
        <is>
          <t>LOIs</t>
        </is>
      </c>
      <c r="C213" s="36" t="n"/>
      <c r="F213" t="n">
        <v>1</v>
      </c>
    </row>
    <row r="214">
      <c r="B214" s="47" t="inlineStr">
        <is>
          <t>Purchase Agreements</t>
        </is>
      </c>
      <c r="C214" s="36" t="n"/>
      <c r="F214" t="n">
        <v>1</v>
      </c>
    </row>
    <row r="215">
      <c r="B215" s="47" t="inlineStr">
        <is>
          <t>Commercial Leases</t>
        </is>
      </c>
      <c r="C215" s="36" t="n"/>
      <c r="F215" t="n">
        <v>1</v>
      </c>
    </row>
    <row r="216">
      <c r="B216" s="47" t="inlineStr">
        <is>
          <t>Due Diligence</t>
        </is>
      </c>
      <c r="C216" s="36" t="n"/>
      <c r="F216" t="n">
        <v>1</v>
      </c>
    </row>
    <row r="217">
      <c r="B217" s="47" t="inlineStr">
        <is>
          <t>Negotiation</t>
        </is>
      </c>
      <c r="C217" s="36" t="n"/>
      <c r="F217" t="n">
        <v>1</v>
      </c>
    </row>
    <row r="218">
      <c r="B218" s="47" t="inlineStr">
        <is>
          <t>Deal Management</t>
        </is>
      </c>
      <c r="C218" s="36" t="n"/>
      <c r="F218" t="n">
        <v>1</v>
      </c>
    </row>
    <row r="219">
      <c r="B219" s="47" t="inlineStr">
        <is>
          <t>Client Follow-Up</t>
        </is>
      </c>
      <c r="C219" s="36" t="n"/>
      <c r="F219" t="n">
        <v>1</v>
      </c>
    </row>
    <row r="220">
      <c r="B220" s="47" t="inlineStr">
        <is>
          <t>Networking</t>
        </is>
      </c>
      <c r="C220" s="36" t="n"/>
      <c r="F220" t="n">
        <v>1</v>
      </c>
    </row>
    <row r="221">
      <c r="B221" s="47" t="inlineStr">
        <is>
          <t>Referral Development</t>
        </is>
      </c>
      <c r="C221" s="36" t="n"/>
      <c r="F221" t="n">
        <v>1</v>
      </c>
    </row>
    <row r="222">
      <c r="B222" s="47" t="inlineStr">
        <is>
          <t>AI / ChatGPT</t>
        </is>
      </c>
      <c r="C222" s="36" t="n"/>
      <c r="F222" t="n">
        <v>1</v>
      </c>
    </row>
    <row r="223">
      <c r="B223" s="47" t="inlineStr">
        <is>
          <t>Personal Organization</t>
        </is>
      </c>
      <c r="C223" s="36" t="n"/>
      <c r="F223" t="n">
        <v>1</v>
      </c>
    </row>
    <row r="224">
      <c r="B224" s="47" t="inlineStr">
        <is>
          <t>Time Management</t>
        </is>
      </c>
      <c r="C224" s="36" t="n"/>
      <c r="F224" t="n">
        <v>1</v>
      </c>
    </row>
    <row r="225" ht="48" customHeight="1">
      <c r="B225" s="43" t="inlineStr">
        <is>
          <t>Three areas where you feel strongest:</t>
        </is>
      </c>
      <c r="C225" s="44" t="n"/>
      <c r="D225" s="28" t="n"/>
      <c r="E225" s="28" t="n"/>
      <c r="F225" t="n">
        <v>1</v>
      </c>
    </row>
    <row r="226" ht="48" customHeight="1">
      <c r="B226" s="43" t="inlineStr">
        <is>
          <t>Three areas where you most want help:</t>
        </is>
      </c>
      <c r="C226" s="44" t="n"/>
      <c r="D226" s="28" t="n"/>
      <c r="E226" s="28" t="n"/>
      <c r="F226" t="n">
        <v>1</v>
      </c>
    </row>
    <row r="228" ht="24" customHeight="1">
      <c r="A228" s="42" t="inlineStr">
        <is>
          <t>11. PAIN POINTS &amp; AREAS FOR IMPROVEMENT</t>
        </is>
      </c>
    </row>
    <row r="229">
      <c r="B229" s="48" t="inlineStr">
        <is>
          <t>What do you believe is currently preventing you from growing faster?  (select Yes for all that apply)</t>
        </is>
      </c>
    </row>
    <row r="230">
      <c r="B230" s="47" t="inlineStr">
        <is>
          <t xml:space="preserve">      Not enough prospecting</t>
        </is>
      </c>
      <c r="C230" s="36" t="n"/>
    </row>
    <row r="231">
      <c r="B231" s="47" t="inlineStr">
        <is>
          <t xml:space="preserve">      Difficulty finding prospects</t>
        </is>
      </c>
      <c r="C231" s="36" t="n"/>
    </row>
    <row r="232">
      <c r="B232" s="47" t="inlineStr">
        <is>
          <t xml:space="preserve">      Difficulty making calls</t>
        </is>
      </c>
      <c r="C232" s="36" t="n"/>
    </row>
    <row r="233">
      <c r="B233" s="47" t="inlineStr">
        <is>
          <t xml:space="preserve">      Difficulty converting calls</t>
        </is>
      </c>
      <c r="C233" s="36" t="n"/>
    </row>
    <row r="234">
      <c r="B234" s="47" t="inlineStr">
        <is>
          <t xml:space="preserve">      Follow-up</t>
        </is>
      </c>
      <c r="C234" s="36" t="n"/>
    </row>
    <row r="235">
      <c r="B235" s="47" t="inlineStr">
        <is>
          <t xml:space="preserve">      Time management</t>
        </is>
      </c>
      <c r="C235" s="36" t="n"/>
    </row>
    <row r="236">
      <c r="B236" s="47" t="inlineStr">
        <is>
          <t xml:space="preserve">      Daily structure</t>
        </is>
      </c>
      <c r="C236" s="36" t="n"/>
    </row>
    <row r="237">
      <c r="B237" s="47" t="inlineStr">
        <is>
          <t xml:space="preserve">      Residential business consuming time</t>
        </is>
      </c>
      <c r="C237" s="36" t="n"/>
    </row>
    <row r="238">
      <c r="B238" s="47" t="inlineStr">
        <is>
          <t xml:space="preserve">      Lack of experience</t>
        </is>
      </c>
      <c r="C238" s="36" t="n"/>
    </row>
    <row r="239">
      <c r="B239" s="47" t="inlineStr">
        <is>
          <t xml:space="preserve">      Lack of confidence</t>
        </is>
      </c>
      <c r="C239" s="36" t="n"/>
    </row>
    <row r="240">
      <c r="B240" s="47" t="inlineStr">
        <is>
          <t xml:space="preserve">      Market knowledge</t>
        </is>
      </c>
      <c r="C240" s="36" t="n"/>
    </row>
    <row r="241">
      <c r="B241" s="47" t="inlineStr">
        <is>
          <t xml:space="preserve">      Product knowledge</t>
        </is>
      </c>
      <c r="C241" s="36" t="n"/>
    </row>
    <row r="242">
      <c r="B242" s="47" t="inlineStr">
        <is>
          <t xml:space="preserve">      Financial analysis</t>
        </is>
      </c>
      <c r="C242" s="36" t="n"/>
    </row>
    <row r="243">
      <c r="B243" s="47" t="inlineStr">
        <is>
          <t xml:space="preserve">      Contracts / LOIs</t>
        </is>
      </c>
      <c r="C243" s="36" t="n"/>
    </row>
    <row r="244">
      <c r="B244" s="47" t="inlineStr">
        <is>
          <t xml:space="preserve">      Negotiation</t>
        </is>
      </c>
      <c r="C244" s="36" t="n"/>
    </row>
    <row r="245">
      <c r="B245" s="47" t="inlineStr">
        <is>
          <t xml:space="preserve">      Technology</t>
        </is>
      </c>
      <c r="C245" s="36" t="n"/>
    </row>
    <row r="246">
      <c r="B246" s="47" t="inlineStr">
        <is>
          <t xml:space="preserve">      Marketing</t>
        </is>
      </c>
      <c r="C246" s="36" t="n"/>
    </row>
    <row r="247">
      <c r="B247" s="47" t="inlineStr">
        <is>
          <t xml:space="preserve">      Building a sphere</t>
        </is>
      </c>
      <c r="C247" s="36" t="n"/>
    </row>
    <row r="248">
      <c r="B248" s="47" t="inlineStr">
        <is>
          <t xml:space="preserve">      Market Center relationships</t>
        </is>
      </c>
      <c r="C248" s="36" t="n"/>
    </row>
    <row r="249">
      <c r="B249" s="47" t="inlineStr">
        <is>
          <t xml:space="preserve">      Lack of specialization</t>
        </is>
      </c>
      <c r="C249" s="36" t="n"/>
    </row>
    <row r="250">
      <c r="B250" s="47" t="inlineStr">
        <is>
          <t xml:space="preserve">      Organization / CRM</t>
        </is>
      </c>
      <c r="C250" s="36" t="n"/>
    </row>
    <row r="251">
      <c r="B251" s="47" t="inlineStr">
        <is>
          <t xml:space="preserve">      Accountability</t>
        </is>
      </c>
      <c r="C251" s="36" t="n"/>
    </row>
    <row r="252">
      <c r="B252" s="47" t="inlineStr">
        <is>
          <t xml:space="preserve">      Other (describe →)</t>
        </is>
      </c>
      <c r="C252" s="36" t="n"/>
      <c r="D252" s="28" t="n"/>
    </row>
    <row r="253" ht="48" customHeight="1">
      <c r="B253" s="43" t="inlineStr">
        <is>
          <t>What is your single biggest pain point right now?</t>
        </is>
      </c>
      <c r="C253" s="44" t="n"/>
      <c r="D253" s="28" t="n"/>
      <c r="E253" s="28" t="n"/>
      <c r="F253" t="n">
        <v>1</v>
      </c>
    </row>
    <row r="254" ht="48" customHeight="1">
      <c r="B254" s="43" t="inlineStr">
        <is>
          <t>What is one recurring problem in your business that you would like help solving?</t>
        </is>
      </c>
      <c r="C254" s="44" t="n"/>
      <c r="D254" s="28" t="n"/>
      <c r="E254" s="28" t="n"/>
      <c r="F254" t="n">
        <v>1</v>
      </c>
    </row>
    <row r="255" ht="48" customHeight="1">
      <c r="B255" s="43" t="inlineStr">
        <is>
          <t>What is something you know you should be doing but have not consistently done?</t>
        </is>
      </c>
      <c r="C255" s="44" t="n"/>
      <c r="D255" s="28" t="n"/>
      <c r="E255" s="28" t="n"/>
      <c r="F255" t="n">
        <v>1</v>
      </c>
    </row>
    <row r="257" ht="24" customHeight="1">
      <c r="A257" s="42" t="inlineStr">
        <is>
          <t>12. PRAEDIUM SUPPORT &amp; DEVELOPMENT</t>
        </is>
      </c>
    </row>
    <row r="258">
      <c r="B258" s="46" t="inlineStr">
        <is>
          <t>Area</t>
        </is>
      </c>
      <c r="C258" s="46" t="inlineStr">
        <is>
          <t>Need More Support?</t>
        </is>
      </c>
    </row>
    <row r="259">
      <c r="B259" s="47" t="inlineStr">
        <is>
          <t>Prospecting</t>
        </is>
      </c>
      <c r="C259" s="36" t="n"/>
      <c r="F259" t="n">
        <v>1</v>
      </c>
    </row>
    <row r="260">
      <c r="B260" s="47" t="inlineStr">
        <is>
          <t>Prospect Lists</t>
        </is>
      </c>
      <c r="C260" s="36" t="n"/>
      <c r="F260" t="n">
        <v>1</v>
      </c>
    </row>
    <row r="261">
      <c r="B261" s="47" t="inlineStr">
        <is>
          <t>Market Research</t>
        </is>
      </c>
      <c r="C261" s="36" t="n"/>
      <c r="F261" t="n">
        <v>1</v>
      </c>
    </row>
    <row r="262">
      <c r="B262" s="47" t="inlineStr">
        <is>
          <t>Deal Strategy</t>
        </is>
      </c>
      <c r="C262" s="36" t="n"/>
      <c r="F262" t="n">
        <v>1</v>
      </c>
    </row>
    <row r="263">
      <c r="B263" s="47" t="inlineStr">
        <is>
          <t>Underwriting</t>
        </is>
      </c>
      <c r="C263" s="36" t="n"/>
      <c r="F263" t="n">
        <v>1</v>
      </c>
    </row>
    <row r="264">
      <c r="B264" s="47" t="inlineStr">
        <is>
          <t>Contracts / LOIs</t>
        </is>
      </c>
      <c r="C264" s="36" t="n"/>
      <c r="F264" t="n">
        <v>1</v>
      </c>
    </row>
    <row r="265">
      <c r="B265" s="47" t="inlineStr">
        <is>
          <t>Negotiation</t>
        </is>
      </c>
      <c r="C265" s="36" t="n"/>
      <c r="F265" t="n">
        <v>1</v>
      </c>
    </row>
    <row r="266">
      <c r="B266" s="47" t="inlineStr">
        <is>
          <t>Listing Presentations</t>
        </is>
      </c>
      <c r="C266" s="36" t="n"/>
      <c r="F266" t="n">
        <v>1</v>
      </c>
    </row>
    <row r="267">
      <c r="B267" s="47" t="inlineStr">
        <is>
          <t>Marketing</t>
        </is>
      </c>
      <c r="C267" s="36" t="n"/>
      <c r="F267" t="n">
        <v>1</v>
      </c>
    </row>
    <row r="268">
      <c r="B268" s="47" t="inlineStr">
        <is>
          <t>Technology</t>
        </is>
      </c>
      <c r="C268" s="36" t="n"/>
      <c r="F268" t="n">
        <v>1</v>
      </c>
    </row>
    <row r="269">
      <c r="B269" s="47" t="inlineStr">
        <is>
          <t>CRM</t>
        </is>
      </c>
      <c r="C269" s="36" t="n"/>
      <c r="F269" t="n">
        <v>1</v>
      </c>
    </row>
    <row r="270">
      <c r="B270" s="47" t="inlineStr">
        <is>
          <t>Administrative Support</t>
        </is>
      </c>
      <c r="C270" s="36" t="n"/>
      <c r="F270" t="n">
        <v>1</v>
      </c>
    </row>
    <row r="271">
      <c r="B271" s="47" t="inlineStr">
        <is>
          <t>Joint Meetings / Calls</t>
        </is>
      </c>
      <c r="C271" s="36" t="n"/>
      <c r="F271" t="n">
        <v>1</v>
      </c>
    </row>
    <row r="272">
      <c r="B272" s="47" t="inlineStr">
        <is>
          <t>Mentoring</t>
        </is>
      </c>
      <c r="C272" s="36" t="n"/>
      <c r="F272" t="n">
        <v>1</v>
      </c>
    </row>
    <row r="273">
      <c r="B273" s="47" t="inlineStr">
        <is>
          <t>Accountability</t>
        </is>
      </c>
      <c r="C273" s="36" t="n"/>
      <c r="F273" t="n">
        <v>1</v>
      </c>
    </row>
    <row r="274">
      <c r="B274" s="47" t="inlineStr">
        <is>
          <t>Referrals</t>
        </is>
      </c>
      <c r="C274" s="36" t="n"/>
      <c r="F274" t="n">
        <v>1</v>
      </c>
    </row>
    <row r="275">
      <c r="B275" s="47" t="inlineStr">
        <is>
          <t>Market Center Development</t>
        </is>
      </c>
      <c r="C275" s="36" t="n"/>
      <c r="F275" t="n">
        <v>1</v>
      </c>
    </row>
    <row r="276">
      <c r="B276" s="47" t="inlineStr">
        <is>
          <t>Specialized CRE Training</t>
        </is>
      </c>
      <c r="C276" s="36" t="n"/>
      <c r="F276" t="n">
        <v>1</v>
      </c>
    </row>
    <row r="277" ht="48" customHeight="1">
      <c r="B277" s="43" t="inlineStr">
        <is>
          <t>What could Praedium do that would make the biggest difference in your business?</t>
        </is>
      </c>
      <c r="C277" s="44" t="n"/>
      <c r="D277" s="28" t="n"/>
      <c r="E277" s="28" t="n"/>
      <c r="F277" t="n">
        <v>1</v>
      </c>
    </row>
    <row r="278" ht="48" customHeight="1">
      <c r="B278" s="43" t="inlineStr">
        <is>
          <t>What do you need more of from me personally?</t>
        </is>
      </c>
      <c r="C278" s="44" t="n"/>
      <c r="D278" s="28" t="n"/>
      <c r="E278" s="28" t="n"/>
      <c r="F278" t="n">
        <v>1</v>
      </c>
    </row>
    <row r="279" ht="48" customHeight="1">
      <c r="B279" s="43" t="inlineStr">
        <is>
          <t>What should we be doing as a team that we are currently not doing?</t>
        </is>
      </c>
      <c r="C279" s="44" t="n"/>
      <c r="D279" s="28" t="n"/>
      <c r="E279" s="28" t="n"/>
      <c r="F279" t="n">
        <v>1</v>
      </c>
    </row>
    <row r="280" ht="48" customHeight="1">
      <c r="B280" s="43" t="inlineStr">
        <is>
          <t>What would you most like to learn during our biweekly meetings?</t>
        </is>
      </c>
      <c r="C280" s="44" t="n"/>
      <c r="D280" s="28" t="n"/>
      <c r="E280" s="28" t="n"/>
      <c r="F280" t="n">
        <v>1</v>
      </c>
    </row>
    <row r="282" ht="24" customHeight="1">
      <c r="A282" s="42" t="inlineStr">
        <is>
          <t>13. Q4 GOALS  (Oct 1 – Dec 31)</t>
        </is>
      </c>
    </row>
    <row r="283" ht="28" customHeight="1">
      <c r="A283" s="45" t="inlineStr">
        <is>
          <t>These goals feed your Weekly Scorecard — progress is tracked against them automatically.</t>
        </is>
      </c>
    </row>
    <row r="284">
      <c r="B284" s="43" t="inlineStr">
        <is>
          <t>Commercial Transaction Volume Goal ($)</t>
        </is>
      </c>
      <c r="C284" s="56" t="n"/>
      <c r="D284" s="28" t="n"/>
      <c r="E284" s="28" t="n"/>
      <c r="F284" t="n">
        <v>1</v>
      </c>
    </row>
    <row r="285">
      <c r="B285" s="43" t="inlineStr">
        <is>
          <t>Commercial GCI Goal ($)</t>
        </is>
      </c>
      <c r="C285" s="56" t="n"/>
      <c r="D285" s="28" t="n"/>
      <c r="E285" s="28" t="n"/>
      <c r="F285" t="n">
        <v>1</v>
      </c>
    </row>
    <row r="286">
      <c r="B286" s="43" t="inlineStr">
        <is>
          <t>Number of Closings</t>
        </is>
      </c>
      <c r="C286" s="44" t="n"/>
      <c r="D286" s="28" t="n"/>
      <c r="E286" s="28" t="n"/>
      <c r="F286" t="n">
        <v>1</v>
      </c>
    </row>
    <row r="287">
      <c r="B287" s="43" t="inlineStr">
        <is>
          <t>New Listings</t>
        </is>
      </c>
      <c r="C287" s="44" t="n"/>
      <c r="D287" s="28" t="n"/>
      <c r="E287" s="28" t="n"/>
      <c r="F287" t="n">
        <v>1</v>
      </c>
    </row>
    <row r="288">
      <c r="B288" s="43" t="inlineStr">
        <is>
          <t>New Buyer / Tenant Assignments</t>
        </is>
      </c>
      <c r="C288" s="44" t="n"/>
      <c r="D288" s="28" t="n"/>
      <c r="E288" s="28" t="n"/>
      <c r="F288" t="n">
        <v>1</v>
      </c>
    </row>
    <row r="289">
      <c r="B289" s="43" t="inlineStr">
        <is>
          <t>Qualified Opportunities Created</t>
        </is>
      </c>
      <c r="C289" s="44" t="n"/>
      <c r="D289" s="28" t="n"/>
      <c r="E289" s="28" t="n"/>
      <c r="F289" t="n">
        <v>1</v>
      </c>
    </row>
    <row r="290">
      <c r="B290" s="43" t="inlineStr">
        <is>
          <t>Meetings Per Month</t>
        </is>
      </c>
      <c r="C290" s="44" t="n"/>
      <c r="D290" s="28" t="n"/>
      <c r="E290" s="28" t="n"/>
      <c r="F290" t="n">
        <v>1</v>
      </c>
    </row>
    <row r="291" ht="48" customHeight="1">
      <c r="B291" s="43" t="inlineStr">
        <is>
          <t>The three most important things you want to accomplish before December 31:</t>
        </is>
      </c>
      <c r="C291" s="44" t="n"/>
      <c r="D291" s="28" t="n"/>
      <c r="E291" s="28" t="n"/>
      <c r="F291" t="n">
        <v>1</v>
      </c>
    </row>
    <row r="293" ht="24" customHeight="1">
      <c r="A293" s="42" t="inlineStr">
        <is>
          <t>14. 2027 GOALS</t>
        </is>
      </c>
    </row>
    <row r="294">
      <c r="B294" s="43" t="inlineStr">
        <is>
          <t>2027 Commercial Volume Goal ($)</t>
        </is>
      </c>
      <c r="C294" s="56" t="n"/>
      <c r="D294" s="28" t="n"/>
      <c r="E294" s="28" t="n"/>
      <c r="F294" t="n">
        <v>1</v>
      </c>
    </row>
    <row r="295">
      <c r="B295" s="43" t="inlineStr">
        <is>
          <t>2027 Commercial GCI Goal ($)</t>
        </is>
      </c>
      <c r="C295" s="56" t="n"/>
      <c r="D295" s="28" t="n"/>
      <c r="E295" s="28" t="n"/>
      <c r="F295" t="n">
        <v>1</v>
      </c>
    </row>
    <row r="296">
      <c r="B296" s="43" t="inlineStr">
        <is>
          <t>Transactions Closed</t>
        </is>
      </c>
      <c r="C296" s="44" t="n"/>
      <c r="D296" s="28" t="n"/>
      <c r="E296" s="28" t="n"/>
      <c r="F296" t="n">
        <v>1</v>
      </c>
    </row>
    <row r="297">
      <c r="B297" s="43" t="inlineStr">
        <is>
          <t>Listings Obtained</t>
        </is>
      </c>
      <c r="C297" s="44" t="n"/>
      <c r="D297" s="28" t="n"/>
      <c r="E297" s="28" t="n"/>
      <c r="F297" t="n">
        <v>1</v>
      </c>
    </row>
    <row r="298">
      <c r="B298" s="43" t="inlineStr">
        <is>
          <t>Primary Geography</t>
        </is>
      </c>
      <c r="C298" s="44" t="n"/>
      <c r="D298" s="28" t="n"/>
      <c r="E298" s="28" t="n"/>
      <c r="F298" t="n">
        <v>1</v>
      </c>
    </row>
    <row r="299">
      <c r="B299" s="43" t="inlineStr">
        <is>
          <t>Primary Product Type</t>
        </is>
      </c>
      <c r="C299" s="44" t="n"/>
      <c r="D299" s="28" t="n"/>
      <c r="E299" s="28" t="n"/>
      <c r="F299" t="n">
        <v>1</v>
      </c>
    </row>
    <row r="300">
      <c r="B300" s="43" t="inlineStr">
        <is>
          <t>What % of your business would you LIKE to be commercial by the end of 2027?</t>
        </is>
      </c>
      <c r="C300" s="57" t="n"/>
      <c r="D300" s="28" t="n"/>
      <c r="E300" s="28" t="n"/>
      <c r="F300" t="n">
        <v>1</v>
      </c>
    </row>
    <row r="301" ht="48" customHeight="1">
      <c r="B301" s="43" t="inlineStr">
        <is>
          <t>What would a successful 2027 look like to you?</t>
        </is>
      </c>
      <c r="C301" s="44" t="n"/>
      <c r="D301" s="28" t="n"/>
      <c r="E301" s="28" t="n"/>
      <c r="F301" t="n">
        <v>1</v>
      </c>
    </row>
    <row r="302" ht="48" customHeight="1">
      <c r="B302" s="43" t="inlineStr">
        <is>
          <t>What would need to change between now and then for that to happen?</t>
        </is>
      </c>
      <c r="C302" s="44" t="n"/>
      <c r="D302" s="28" t="n"/>
      <c r="E302" s="28" t="n"/>
      <c r="F302" t="n">
        <v>1</v>
      </c>
    </row>
    <row r="304" ht="24" customHeight="1">
      <c r="A304" s="42" t="inlineStr">
        <is>
          <t>15. YOUR NEXT 90 DAYS</t>
        </is>
      </c>
    </row>
    <row r="305" ht="48" customHeight="1">
      <c r="B305" s="43" t="inlineStr">
        <is>
          <t>One thing I need to STOP doing:</t>
        </is>
      </c>
      <c r="C305" s="44" t="n"/>
      <c r="D305" s="28" t="n"/>
      <c r="E305" s="28" t="n"/>
      <c r="F305" t="n">
        <v>1</v>
      </c>
    </row>
    <row r="306" ht="48" customHeight="1">
      <c r="B306" s="43" t="inlineStr">
        <is>
          <t>One thing I need to START doing:</t>
        </is>
      </c>
      <c r="C306" s="44" t="n"/>
      <c r="D306" s="28" t="n"/>
      <c r="E306" s="28" t="n"/>
      <c r="F306" t="n">
        <v>1</v>
      </c>
    </row>
    <row r="307" ht="48" customHeight="1">
      <c r="B307" s="43" t="inlineStr">
        <is>
          <t>One thing I need to CONTINUE doing:</t>
        </is>
      </c>
      <c r="C307" s="44" t="n"/>
      <c r="D307" s="28" t="n"/>
      <c r="E307" s="28" t="n"/>
      <c r="F307" t="n">
        <v>1</v>
      </c>
    </row>
    <row r="308" ht="48" customHeight="1">
      <c r="B308" s="43" t="inlineStr">
        <is>
          <t>My primary prospecting strategy will be:</t>
        </is>
      </c>
      <c r="C308" s="44" t="n"/>
      <c r="D308" s="28" t="n"/>
      <c r="E308" s="28" t="n"/>
      <c r="F308" t="n">
        <v>1</v>
      </c>
    </row>
    <row r="309" ht="48" customHeight="1">
      <c r="B309" s="43" t="inlineStr">
        <is>
          <t>My primary market / product focus will be:</t>
        </is>
      </c>
      <c r="C309" s="44" t="n"/>
      <c r="D309" s="28" t="n"/>
      <c r="E309" s="28" t="n"/>
      <c r="F309" t="n">
        <v>1</v>
      </c>
    </row>
    <row r="310" ht="48" customHeight="1">
      <c r="B310" s="43" t="inlineStr">
        <is>
          <t>The biggest improvement I want to make over the next 90 days is:</t>
        </is>
      </c>
      <c r="C310" s="44" t="n"/>
      <c r="D310" s="28" t="n"/>
      <c r="E310" s="28" t="n"/>
      <c r="F310" t="n">
        <v>1</v>
      </c>
    </row>
    <row r="311" ht="48" customHeight="1">
      <c r="B311" s="43" t="inlineStr">
        <is>
          <t>One commitment I am making to myself before our next meeting:</t>
        </is>
      </c>
      <c r="C311" s="44" t="n"/>
      <c r="D311" s="28" t="n"/>
      <c r="E311" s="28" t="n"/>
      <c r="F311" t="n">
        <v>1</v>
      </c>
    </row>
  </sheetData>
  <mergeCells count="123">
    <mergeCell ref="C44:E44"/>
    <mergeCell ref="C255:E255"/>
    <mergeCell ref="C80:E80"/>
    <mergeCell ref="A1:E1"/>
    <mergeCell ref="C192:E192"/>
    <mergeCell ref="C51:E51"/>
    <mergeCell ref="C297:E297"/>
    <mergeCell ref="C299:E299"/>
    <mergeCell ref="C7:E7"/>
    <mergeCell ref="A282:E282"/>
    <mergeCell ref="C155:E155"/>
    <mergeCell ref="C307:E307"/>
    <mergeCell ref="C18:E18"/>
    <mergeCell ref="C49:E49"/>
    <mergeCell ref="C285:E285"/>
    <mergeCell ref="A194:E194"/>
    <mergeCell ref="C77:E77"/>
    <mergeCell ref="C157:E157"/>
    <mergeCell ref="C151:E151"/>
    <mergeCell ref="C284:E284"/>
    <mergeCell ref="C74:E74"/>
    <mergeCell ref="A293:E293"/>
    <mergeCell ref="C309:E309"/>
    <mergeCell ref="D148:E148"/>
    <mergeCell ref="C20:E20"/>
    <mergeCell ref="C112:E112"/>
    <mergeCell ref="A83:E83"/>
    <mergeCell ref="C75:E75"/>
    <mergeCell ref="C311:E311"/>
    <mergeCell ref="C130:E130"/>
    <mergeCell ref="C12:E12"/>
    <mergeCell ref="C295:E295"/>
    <mergeCell ref="C46:E46"/>
    <mergeCell ref="C52:E52"/>
    <mergeCell ref="C70:E70"/>
    <mergeCell ref="C159:E159"/>
    <mergeCell ref="C48:E48"/>
    <mergeCell ref="C81:E81"/>
    <mergeCell ref="C38:E38"/>
    <mergeCell ref="C296:E296"/>
    <mergeCell ref="C131:E131"/>
    <mergeCell ref="C298:E298"/>
    <mergeCell ref="A5:E5"/>
    <mergeCell ref="A14:E14"/>
    <mergeCell ref="C116:E116"/>
    <mergeCell ref="C156:E156"/>
    <mergeCell ref="C79:E79"/>
    <mergeCell ref="C73:E73"/>
    <mergeCell ref="D129:E129"/>
    <mergeCell ref="D252:E252"/>
    <mergeCell ref="C302:E302"/>
    <mergeCell ref="A40:E40"/>
    <mergeCell ref="C10:E10"/>
    <mergeCell ref="C16:E16"/>
    <mergeCell ref="C305:E305"/>
    <mergeCell ref="C50:E50"/>
    <mergeCell ref="C173:E173"/>
    <mergeCell ref="C286:E286"/>
    <mergeCell ref="C301:E301"/>
    <mergeCell ref="C9:E9"/>
    <mergeCell ref="A228:E228"/>
    <mergeCell ref="C115:E115"/>
    <mergeCell ref="C300:E300"/>
    <mergeCell ref="C11:E11"/>
    <mergeCell ref="C278:E278"/>
    <mergeCell ref="C287:E287"/>
    <mergeCell ref="C150:E150"/>
    <mergeCell ref="A84:E84"/>
    <mergeCell ref="C158:E158"/>
    <mergeCell ref="C67:E67"/>
    <mergeCell ref="C289:E289"/>
    <mergeCell ref="C190:E190"/>
    <mergeCell ref="D171:E171"/>
    <mergeCell ref="A2:E2"/>
    <mergeCell ref="C69:E69"/>
    <mergeCell ref="C254:E254"/>
    <mergeCell ref="C78:E78"/>
    <mergeCell ref="C6:E6"/>
    <mergeCell ref="C191:E191"/>
    <mergeCell ref="C225:E225"/>
    <mergeCell ref="A72:E72"/>
    <mergeCell ref="A134:E134"/>
    <mergeCell ref="C172:E172"/>
    <mergeCell ref="C306:E306"/>
    <mergeCell ref="A176:E176"/>
    <mergeCell ref="A114:E114"/>
    <mergeCell ref="C226:E226"/>
    <mergeCell ref="A15:E15"/>
    <mergeCell ref="C277:E277"/>
    <mergeCell ref="A257:E257"/>
    <mergeCell ref="A304:E304"/>
    <mergeCell ref="C291:E291"/>
    <mergeCell ref="C43:E43"/>
    <mergeCell ref="C188:E188"/>
    <mergeCell ref="C76:E76"/>
    <mergeCell ref="C132:E132"/>
    <mergeCell ref="C110:E110"/>
    <mergeCell ref="A177:E177"/>
    <mergeCell ref="A41:E41"/>
    <mergeCell ref="C8:E8"/>
    <mergeCell ref="A283:E283"/>
    <mergeCell ref="C17:E17"/>
    <mergeCell ref="C253:E253"/>
    <mergeCell ref="C174:E174"/>
    <mergeCell ref="C149:E149"/>
    <mergeCell ref="A154:E154"/>
    <mergeCell ref="C280:E280"/>
    <mergeCell ref="C66:E66"/>
    <mergeCell ref="C308:E308"/>
    <mergeCell ref="C19:E19"/>
    <mergeCell ref="C189:E189"/>
    <mergeCell ref="A195:E195"/>
    <mergeCell ref="C111:E111"/>
    <mergeCell ref="C68:E68"/>
    <mergeCell ref="C310:E310"/>
    <mergeCell ref="C279:E279"/>
    <mergeCell ref="C288:E288"/>
    <mergeCell ref="C294:E294"/>
    <mergeCell ref="C45:E45"/>
    <mergeCell ref="C290:E290"/>
    <mergeCell ref="C152:E152"/>
    <mergeCell ref="C109:E109"/>
    <mergeCell ref="C47:E47"/>
  </mergeCells>
  <dataValidations count="20">
    <dataValidation sqref="C9" showDropDown="0" showInputMessage="0" showErrorMessage="0" allowBlank="1" type="list">
      <formula1>"Primarily Commercial,Primarily Residential,Mix of Commercial and Residential,New to Real Estate,Building My Commercial Business,Other"</formula1>
    </dataValidation>
    <dataValidation sqref="C11" showDropDown="0" showInputMessage="0" showErrorMessage="0" allowBlank="1" type="list">
      <formula1>"Yes,No,Transitioning toward it"</formula1>
    </dataValidation>
    <dataValidation sqref="C20" showDropDown="0" showInputMessage="0" showErrorMessage="0" allowBlank="1" type="list">
      <formula1>"Yes,Somewhat,No"</formula1>
    </dataValidation>
    <dataValidation sqref="C23:C29" showDropDown="0" showInputMessage="0" showErrorMessage="0" allowBlank="1" type="list">
      <formula1>"Yes,No"</formula1>
    </dataValidation>
    <dataValidation sqref="C73" showDropDown="0" showInputMessage="0" showErrorMessage="0" allowBlank="1" type="list">
      <formula1>"Almost always,Sometimes,Rarely,Never"</formula1>
    </dataValidation>
    <dataValidation sqref="C74" showDropDown="0" showInputMessage="0" showErrorMessage="0" allowBlank="1" type="list">
      <formula1>"Yes,Somewhat,No"</formula1>
    </dataValidation>
    <dataValidation sqref="C75" showDropDown="0" showInputMessage="0" showErrorMessage="0" allowBlank="1" type="list">
      <formula1>"Yes,Sometimes,No"</formula1>
    </dataValidation>
    <dataValidation sqref="C86:C108" showDropDown="0" showInputMessage="0" showErrorMessage="0" allowBlank="1" type="list">
      <formula1>"0,1,2,3,4,5"</formula1>
    </dataValidation>
    <dataValidation sqref="D86:D108" showDropDown="0" showInputMessage="0" showErrorMessage="0" allowBlank="1" type="list">
      <formula1>"Yes,No"</formula1>
    </dataValidation>
    <dataValidation sqref="C116" showDropDown="0" showInputMessage="0" showErrorMessage="0" allowBlank="1" type="list">
      <formula1>"Very few,Some,Most,Nearly all,Unsure"</formula1>
    </dataValidation>
    <dataValidation sqref="C118:C129" showDropDown="0" showInputMessage="0" showErrorMessage="0" allowBlank="1" type="list">
      <formula1>"Yes,No"</formula1>
    </dataValidation>
    <dataValidation sqref="C136:C148" showDropDown="0" showInputMessage="0" showErrorMessage="0" allowBlank="1" type="list">
      <formula1>"Yes,No"</formula1>
    </dataValidation>
    <dataValidation sqref="C150" showDropDown="0" showInputMessage="0" showErrorMessage="0" allowBlank="1" type="list">
      <formula1>"Weekly,Monthly,Quarterly,Occasionally,Almost never"</formula1>
    </dataValidation>
    <dataValidation sqref="C155" showDropDown="0" showInputMessage="0" showErrorMessage="0" allowBlank="1" type="list">
      <formula1>"Yes,Somewhat,No,Still determining it"</formula1>
    </dataValidation>
    <dataValidation sqref="C156" showDropDown="0" showInputMessage="0" showErrorMessage="0" allowBlank="1" type="list">
      <formula1>"Yes,No"</formula1>
    </dataValidation>
    <dataValidation sqref="C161:C171" showDropDown="0" showInputMessage="0" showErrorMessage="0" allowBlank="1" type="list">
      <formula1>"Yes,No"</formula1>
    </dataValidation>
    <dataValidation sqref="C192" showDropDown="0" showInputMessage="0" showErrorMessage="0" allowBlank="1" type="list">
      <formula1>"Yes,Approximately,No"</formula1>
    </dataValidation>
    <dataValidation sqref="C197:C224" showDropDown="0" showInputMessage="0" showErrorMessage="0" allowBlank="1" type="list">
      <formula1>"1,2,3,4,5"</formula1>
    </dataValidation>
    <dataValidation sqref="C230:C252" showDropDown="0" showInputMessage="0" showErrorMessage="0" allowBlank="1" type="list">
      <formula1>"Yes,No"</formula1>
    </dataValidation>
    <dataValidation sqref="C259:C2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A5F"/>
    <outlinePr summaryBelow="1" summaryRight="1"/>
    <pageSetUpPr/>
  </sheetPr>
  <dimension ref="A1:Z8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  <col width="12" customWidth="1" min="15" max="15"/>
    <col width="9" customWidth="1" min="16" max="16"/>
    <col width="10" customWidth="1" min="17" max="17"/>
    <col width="9" customWidth="1" min="18" max="18"/>
    <col width="13" customWidth="1" min="19" max="19"/>
    <col width="12" customWidth="1" min="20" max="20"/>
    <col width="14" customWidth="1" min="21" max="21"/>
    <col width="30" customWidth="1" min="22" max="22"/>
    <col width="30" customWidth="1" min="23" max="23"/>
    <col width="30" customWidth="1" min="24" max="24"/>
    <col width="17" customWidth="1" min="25" max="25"/>
    <col width="12" customWidth="1" min="26" max="26"/>
  </cols>
  <sheetData>
    <row r="1" ht="34" customHeight="1">
      <c r="A1" s="1">
        <f>IF('Settings'!B17="","Agent 4",'Settings'!B17)&amp;" — Weekly Score Card"</f>
        <v/>
      </c>
    </row>
    <row r="2" ht="30" customHeight="1">
      <c r="A2" s="5" t="inlineStr">
        <is>
          <t>Fill in your row for the current week by Friday end of day (yellow cells). Estimates are fine. “Follow-Ups Outstanding” and “Pipeline Potential GCI” are snapshots as of the end of the week; everything else is what happened that week. Q4 progress below updates automatically.</t>
        </is>
      </c>
    </row>
    <row r="4">
      <c r="A4" s="30" t="inlineStr">
        <is>
          <t>Q4 2026 PROGRESS  (goals come from Section 13 of your Assessment)</t>
        </is>
      </c>
      <c r="H4" s="2" t="inlineStr">
        <is>
          <t>ACCOUNTABILITY</t>
        </is>
      </c>
    </row>
    <row r="5">
      <c r="A5" s="8" t="inlineStr">
        <is>
          <t>Metric</t>
        </is>
      </c>
      <c r="B5" s="31" t="n"/>
      <c r="C5" s="8" t="inlineStr">
        <is>
          <t>Q4 Goal</t>
        </is>
      </c>
      <c r="D5" s="8" t="inlineStr">
        <is>
          <t>Q4 Actual</t>
        </is>
      </c>
      <c r="E5" s="8" t="inlineStr">
        <is>
          <t>% to Goal</t>
        </is>
      </c>
      <c r="F5" s="8" t="inlineStr">
        <is>
          <t>On Pace?</t>
        </is>
      </c>
      <c r="H5" s="3" t="inlineStr">
        <is>
          <t>Weeks updated</t>
        </is>
      </c>
      <c r="K5" s="32">
        <f>COUNTIFS($A$15:$A$80,"&lt;="&amp;TODAY(),$Y$15:$Y$80,"&lt;&gt;")</f>
        <v/>
      </c>
    </row>
    <row r="6">
      <c r="A6" s="33" t="inlineStr">
        <is>
          <t>Commercial GCI</t>
        </is>
      </c>
      <c r="B6" s="34" t="n"/>
      <c r="C6" s="12">
        <f>IF('Agent 4 Assessment'!C285="","",'Agent 4 Assessment'!C285)</f>
        <v/>
      </c>
      <c r="D6" s="12">
        <f>SUMIFS($T$15:$T$80,$A$15:$A$80,"&gt;="&amp;DATE(2026,9,28),$A$15:$A$80,"&lt;="&amp;DATE(2026,12,31))</f>
        <v/>
      </c>
      <c r="E6" s="10">
        <f>IFERROR(D6/C6,"")</f>
        <v/>
      </c>
      <c r="F6" s="11">
        <f>IF(C6="","Set goal",IF(D6&gt;=C6*MAX(0,MIN(1,(TODAY()-DATE(2026,10,1))/(DATE(2026,12,31)-DATE(2026,10,1)))),"On pace","Behind"))</f>
        <v/>
      </c>
      <c r="H6" s="3" t="inlineStr">
        <is>
          <t>Weeks elapsed</t>
        </is>
      </c>
      <c r="K6" s="32">
        <f>COUNTIFS($A$15:$A$80,"&lt;="&amp;TODAY())</f>
        <v/>
      </c>
    </row>
    <row r="7">
      <c r="A7" s="33" t="inlineStr">
        <is>
          <t>Transaction Volume</t>
        </is>
      </c>
      <c r="B7" s="34" t="n"/>
      <c r="C7" s="12">
        <f>IF('Agent 4 Assessment'!C284="","",'Agent 4 Assessment'!C284)</f>
        <v/>
      </c>
      <c r="D7" s="12">
        <f>SUMIFS($S$15:$S$80,$A$15:$A$80,"&gt;="&amp;DATE(2026,9,28),$A$15:$A$80,"&lt;="&amp;DATE(2026,12,31))</f>
        <v/>
      </c>
      <c r="E7" s="10">
        <f>IFERROR(D7/C7,"")</f>
        <v/>
      </c>
      <c r="F7" s="11">
        <f>IF(C7="","Set goal",IF(D7&gt;=C7*MAX(0,MIN(1,(TODAY()-DATE(2026,10,1))/(DATE(2026,12,31)-DATE(2026,10,1)))),"On pace","Behind"))</f>
        <v/>
      </c>
      <c r="H7" s="3" t="inlineStr">
        <is>
          <t>Consistency</t>
        </is>
      </c>
      <c r="K7" s="17">
        <f>IFERROR(K5/K6,0)</f>
        <v/>
      </c>
    </row>
    <row r="8">
      <c r="A8" s="33" t="inlineStr">
        <is>
          <t>Closings</t>
        </is>
      </c>
      <c r="B8" s="34" t="n"/>
      <c r="C8" s="11">
        <f>IF('Agent 4 Assessment'!C286="","",'Agent 4 Assessment'!C286)</f>
        <v/>
      </c>
      <c r="D8" s="11">
        <f>SUMIFS($R$15:$R$80,$A$15:$A$80,"&gt;="&amp;DATE(2026,9,28),$A$15:$A$80,"&lt;="&amp;DATE(2026,12,31))</f>
        <v/>
      </c>
      <c r="E8" s="10">
        <f>IFERROR(D8/C8,"")</f>
        <v/>
      </c>
      <c r="F8" s="11">
        <f>IF(C8="","Set goal",IF(D8&gt;=C8*MAX(0,MIN(1,(TODAY()-DATE(2026,10,1))/(DATE(2026,12,31)-DATE(2026,10,1)))),"On pace","Behind"))</f>
        <v/>
      </c>
      <c r="H8" s="3" t="inlineStr">
        <is>
          <t>Avg calls / week</t>
        </is>
      </c>
      <c r="K8" s="20">
        <f>IFERROR(AVERAGEIFS($F$15:$F$80,$A$15:$A$80,"&lt;="&amp;TODAY(),$F$15:$F$80,"&lt;&gt;"),0)</f>
        <v/>
      </c>
    </row>
    <row r="9">
      <c r="A9" s="33" t="inlineStr">
        <is>
          <t>New Listings</t>
        </is>
      </c>
      <c r="B9" s="34" t="n"/>
      <c r="C9" s="11">
        <f>IF('Agent 4 Assessment'!C287="","",'Agent 4 Assessment'!C287)</f>
        <v/>
      </c>
      <c r="D9" s="11">
        <f>SUMIFS($N$15:$N$80,$A$15:$A$80,"&gt;="&amp;DATE(2026,9,28),$A$15:$A$80,"&lt;="&amp;DATE(2026,12,31))</f>
        <v/>
      </c>
      <c r="E9" s="10">
        <f>IFERROR(D9/C9,"")</f>
        <v/>
      </c>
      <c r="F9" s="11">
        <f>IF(C9="","Set goal",IF(D9&gt;=C9*MAX(0,MIN(1,(TODAY()-DATE(2026,10,1))/(DATE(2026,12,31)-DATE(2026,10,1)))),"On pace","Behind"))</f>
        <v/>
      </c>
      <c r="H9" s="3" t="inlineStr">
        <is>
          <t>Avg meetings / week</t>
        </is>
      </c>
      <c r="K9" s="20">
        <f>IFERROR(AVERAGEIFS($H$15:$H$80,$A$15:$A$80,"&lt;="&amp;TODAY(),$H$15:$H$80,"&lt;&gt;"),0)</f>
        <v/>
      </c>
    </row>
    <row r="10">
      <c r="A10" s="33" t="inlineStr">
        <is>
          <t>New Buyer / Tenant Assignments</t>
        </is>
      </c>
      <c r="B10" s="34" t="n"/>
      <c r="C10" s="11">
        <f>IF('Agent 4 Assessment'!C288="","",'Agent 4 Assessment'!C288)</f>
        <v/>
      </c>
      <c r="D10" s="11">
        <f>SUMIFS($O$15:$O$80,$A$15:$A$80,"&gt;="&amp;DATE(2026,9,28),$A$15:$A$80,"&lt;="&amp;DATE(2026,12,31))</f>
        <v/>
      </c>
      <c r="E10" s="10">
        <f>IFERROR(D10/C10,"")</f>
        <v/>
      </c>
      <c r="F10" s="11">
        <f>IF(C10="","Set goal",IF(D10&gt;=C10*MAX(0,MIN(1,(TODAY()-DATE(2026,10,1))/(DATE(2026,12,31)-DATE(2026,10,1)))),"On pace","Behind"))</f>
        <v/>
      </c>
      <c r="H10" s="3" t="inlineStr">
        <is>
          <t>Latest pipeline GCI</t>
        </is>
      </c>
      <c r="K10" s="19">
        <f>IFERROR(INDEX($U$15:$U$80,MATCH(1E+100,$U$15:$U$80)),"")</f>
        <v/>
      </c>
    </row>
    <row r="11">
      <c r="A11" s="33" t="inlineStr">
        <is>
          <t>Qualified Opportunities Created</t>
        </is>
      </c>
      <c r="B11" s="34" t="n"/>
      <c r="C11" s="11">
        <f>IF('Agent 4 Assessment'!C289="","",'Agent 4 Assessment'!C289)</f>
        <v/>
      </c>
      <c r="D11" s="11">
        <f>SUMIFS($I$15:$I$80,$A$15:$A$80,"&gt;="&amp;DATE(2026,9,28),$A$15:$A$80,"&lt;="&amp;DATE(2026,12,31))</f>
        <v/>
      </c>
      <c r="E11" s="10">
        <f>IFERROR(D11/C11,"")</f>
        <v/>
      </c>
      <c r="F11" s="11">
        <f>IF(C11="","Set goal",IF(D11&gt;=C11*MAX(0,MIN(1,(TODAY()-DATE(2026,10,1))/(DATE(2026,12,31)-DATE(2026,10,1)))),"On pace","Behind"))</f>
        <v/>
      </c>
      <c r="H11" s="3" t="inlineStr">
        <is>
          <t>Assessment complete</t>
        </is>
      </c>
      <c r="K11" s="17">
        <f>'Agent 4 Assessment'!C3</f>
        <v/>
      </c>
    </row>
    <row r="12">
      <c r="A12" s="33" t="inlineStr">
        <is>
          <t>Meetings (goal = per month × 3)</t>
        </is>
      </c>
      <c r="B12" s="34" t="n"/>
      <c r="C12" s="11">
        <f>IF('Agent 4 Assessment'!C290="","",'Agent 4 Assessment'!C290*3)</f>
        <v/>
      </c>
      <c r="D12" s="11">
        <f>SUMIFS($H$15:$H$80,$A$15:$A$80,"&gt;="&amp;DATE(2026,9,28),$A$15:$A$80,"&lt;="&amp;DATE(2026,12,31))</f>
        <v/>
      </c>
      <c r="E12" s="10">
        <f>IFERROR(D12/C12,"")</f>
        <v/>
      </c>
      <c r="F12" s="11">
        <f>IF(C12="","Set goal",IF(D12&gt;=C12*MAX(0,MIN(1,(TODAY()-DATE(2026,10,1))/(DATE(2026,12,31)-DATE(2026,10,1)))),"On pace","Behind"))</f>
        <v/>
      </c>
    </row>
    <row r="14" ht="48" customHeight="1">
      <c r="A14" s="8" t="inlineStr">
        <is>
          <t>Week Of (Mon)</t>
        </is>
      </c>
      <c r="B14" s="8" t="inlineStr">
        <is>
          <t>Days Worked</t>
        </is>
      </c>
      <c r="C14" s="8" t="inlineStr">
        <is>
          <t>Total RE Hours</t>
        </is>
      </c>
      <c r="D14" s="8" t="inlineStr">
        <is>
          <t>Commercial Hours</t>
        </is>
      </c>
      <c r="E14" s="8" t="inlineStr">
        <is>
          <t>Prospecting Hours</t>
        </is>
      </c>
      <c r="F14" s="8" t="inlineStr">
        <is>
          <t>Calls / Outreach Attempts</t>
        </is>
      </c>
      <c r="G14" s="8" t="inlineStr">
        <is>
          <t>Decision-Maker Conversations</t>
        </is>
      </c>
      <c r="H14" s="8" t="inlineStr">
        <is>
          <t>Prospect / Client Meetings</t>
        </is>
      </c>
      <c r="I14" s="8" t="inlineStr">
        <is>
          <t>New Opportunities Created</t>
        </is>
      </c>
      <c r="J14" s="8" t="inlineStr">
        <is>
          <t>New Database Contacts</t>
        </is>
      </c>
      <c r="K14" s="8" t="inlineStr">
        <is>
          <t>Follow-Ups Outstanding</t>
        </is>
      </c>
      <c r="L14" s="8" t="inlineStr">
        <is>
          <t>Market Center Agent Conversations</t>
        </is>
      </c>
      <c r="M14" s="8" t="inlineStr">
        <is>
          <t>Sphere Touches</t>
        </is>
      </c>
      <c r="N14" s="8" t="inlineStr">
        <is>
          <t>New Listings</t>
        </is>
      </c>
      <c r="O14" s="8" t="inlineStr">
        <is>
          <t>New Buyer / Tenant Assignments</t>
        </is>
      </c>
      <c r="P14" s="8" t="inlineStr">
        <is>
          <t>LOIs Submitted</t>
        </is>
      </c>
      <c r="Q14" s="8" t="inlineStr">
        <is>
          <t>Went Under Contract</t>
        </is>
      </c>
      <c r="R14" s="8" t="inlineStr">
        <is>
          <t>Closings</t>
        </is>
      </c>
      <c r="S14" s="8" t="inlineStr">
        <is>
          <t>Volume Closed ($)</t>
        </is>
      </c>
      <c r="T14" s="8" t="inlineStr">
        <is>
          <t>GCI Closed ($)</t>
        </is>
      </c>
      <c r="U14" s="8" t="inlineStr">
        <is>
          <t>Pipeline Potential GCI ($)</t>
        </is>
      </c>
      <c r="V14" s="8" t="inlineStr">
        <is>
          <t>Win of the Week</t>
        </is>
      </c>
      <c r="W14" s="8" t="inlineStr">
        <is>
          <t>Biggest Obstacle</t>
        </is>
      </c>
      <c r="X14" s="8" t="inlineStr">
        <is>
          <t>#1 Focus Next Week</t>
        </is>
      </c>
      <c r="Y14" s="8" t="inlineStr">
        <is>
          <t>Last Updated (auto)</t>
        </is>
      </c>
      <c r="Z14" s="8" t="inlineStr">
        <is>
          <t>Status</t>
        </is>
      </c>
    </row>
    <row r="15">
      <c r="A15" s="35" t="n">
        <v>46293</v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7" t="n"/>
      <c r="T15" s="37" t="n"/>
      <c r="U15" s="37" t="n"/>
      <c r="V15" s="38" t="n"/>
      <c r="W15" s="38" t="n"/>
      <c r="X15" s="38" t="n"/>
      <c r="Y15" s="39" t="n"/>
      <c r="Z15" s="11">
        <f>IF(A15&gt;TODAY(),"Upcoming",IF(Y15&lt;&gt;"","✓ Updated",IF(A15+6&gt;=TODAY(),"Due Friday","⚠ Missing")))</f>
        <v/>
      </c>
    </row>
    <row r="16">
      <c r="A16" s="35" t="n">
        <v>46300</v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7" t="n"/>
      <c r="T16" s="37" t="n"/>
      <c r="U16" s="37" t="n"/>
      <c r="V16" s="38" t="n"/>
      <c r="W16" s="38" t="n"/>
      <c r="X16" s="38" t="n"/>
      <c r="Y16" s="39" t="n"/>
      <c r="Z16" s="11">
        <f>IF(A16&gt;TODAY(),"Upcoming",IF(Y16&lt;&gt;"","✓ Updated",IF(A16+6&gt;=TODAY(),"Due Friday","⚠ Missing")))</f>
        <v/>
      </c>
    </row>
    <row r="17">
      <c r="A17" s="35" t="n">
        <v>46307</v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7" t="n"/>
      <c r="T17" s="37" t="n"/>
      <c r="U17" s="37" t="n"/>
      <c r="V17" s="38" t="n"/>
      <c r="W17" s="38" t="n"/>
      <c r="X17" s="38" t="n"/>
      <c r="Y17" s="39" t="n"/>
      <c r="Z17" s="11">
        <f>IF(A17&gt;TODAY(),"Upcoming",IF(Y17&lt;&gt;"","✓ Updated",IF(A17+6&gt;=TODAY(),"Due Friday","⚠ Missing")))</f>
        <v/>
      </c>
    </row>
    <row r="18">
      <c r="A18" s="35" t="n">
        <v>46314</v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7" t="n"/>
      <c r="T18" s="37" t="n"/>
      <c r="U18" s="37" t="n"/>
      <c r="V18" s="38" t="n"/>
      <c r="W18" s="38" t="n"/>
      <c r="X18" s="38" t="n"/>
      <c r="Y18" s="39" t="n"/>
      <c r="Z18" s="11">
        <f>IF(A18&gt;TODAY(),"Upcoming",IF(Y18&lt;&gt;"","✓ Updated",IF(A18+6&gt;=TODAY(),"Due Friday","⚠ Missing")))</f>
        <v/>
      </c>
    </row>
    <row r="19">
      <c r="A19" s="35" t="n">
        <v>46321</v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7" t="n"/>
      <c r="T19" s="37" t="n"/>
      <c r="U19" s="37" t="n"/>
      <c r="V19" s="38" t="n"/>
      <c r="W19" s="38" t="n"/>
      <c r="X19" s="38" t="n"/>
      <c r="Y19" s="39" t="n"/>
      <c r="Z19" s="11">
        <f>IF(A19&gt;TODAY(),"Upcoming",IF(Y19&lt;&gt;"","✓ Updated",IF(A19+6&gt;=TODAY(),"Due Friday","⚠ Missing")))</f>
        <v/>
      </c>
    </row>
    <row r="20">
      <c r="A20" s="35" t="n">
        <v>46328</v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7" t="n"/>
      <c r="T20" s="37" t="n"/>
      <c r="U20" s="37" t="n"/>
      <c r="V20" s="38" t="n"/>
      <c r="W20" s="38" t="n"/>
      <c r="X20" s="38" t="n"/>
      <c r="Y20" s="39" t="n"/>
      <c r="Z20" s="11">
        <f>IF(A20&gt;TODAY(),"Upcoming",IF(Y20&lt;&gt;"","✓ Updated",IF(A20+6&gt;=TODAY(),"Due Friday","⚠ Missing")))</f>
        <v/>
      </c>
    </row>
    <row r="21">
      <c r="A21" s="35" t="n">
        <v>46335</v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7" t="n"/>
      <c r="T21" s="37" t="n"/>
      <c r="U21" s="37" t="n"/>
      <c r="V21" s="38" t="n"/>
      <c r="W21" s="38" t="n"/>
      <c r="X21" s="38" t="n"/>
      <c r="Y21" s="39" t="n"/>
      <c r="Z21" s="11">
        <f>IF(A21&gt;TODAY(),"Upcoming",IF(Y21&lt;&gt;"","✓ Updated",IF(A21+6&gt;=TODAY(),"Due Friday","⚠ Missing")))</f>
        <v/>
      </c>
    </row>
    <row r="22">
      <c r="A22" s="35" t="n">
        <v>46342</v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7" t="n"/>
      <c r="T22" s="37" t="n"/>
      <c r="U22" s="37" t="n"/>
      <c r="V22" s="38" t="n"/>
      <c r="W22" s="38" t="n"/>
      <c r="X22" s="38" t="n"/>
      <c r="Y22" s="39" t="n"/>
      <c r="Z22" s="11">
        <f>IF(A22&gt;TODAY(),"Upcoming",IF(Y22&lt;&gt;"","✓ Updated",IF(A22+6&gt;=TODAY(),"Due Friday","⚠ Missing")))</f>
        <v/>
      </c>
    </row>
    <row r="23">
      <c r="A23" s="35" t="n">
        <v>46349</v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7" t="n"/>
      <c r="T23" s="37" t="n"/>
      <c r="U23" s="37" t="n"/>
      <c r="V23" s="38" t="n"/>
      <c r="W23" s="38" t="n"/>
      <c r="X23" s="38" t="n"/>
      <c r="Y23" s="39" t="n"/>
      <c r="Z23" s="11">
        <f>IF(A23&gt;TODAY(),"Upcoming",IF(Y23&lt;&gt;"","✓ Updated",IF(A23+6&gt;=TODAY(),"Due Friday","⚠ Missing")))</f>
        <v/>
      </c>
    </row>
    <row r="24">
      <c r="A24" s="35" t="n">
        <v>46356</v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7" t="n"/>
      <c r="T24" s="37" t="n"/>
      <c r="U24" s="37" t="n"/>
      <c r="V24" s="38" t="n"/>
      <c r="W24" s="38" t="n"/>
      <c r="X24" s="38" t="n"/>
      <c r="Y24" s="39" t="n"/>
      <c r="Z24" s="11">
        <f>IF(A24&gt;TODAY(),"Upcoming",IF(Y24&lt;&gt;"","✓ Updated",IF(A24+6&gt;=TODAY(),"Due Friday","⚠ Missing")))</f>
        <v/>
      </c>
    </row>
    <row r="25">
      <c r="A25" s="35" t="n">
        <v>46363</v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7" t="n"/>
      <c r="T25" s="37" t="n"/>
      <c r="U25" s="37" t="n"/>
      <c r="V25" s="38" t="n"/>
      <c r="W25" s="38" t="n"/>
      <c r="X25" s="38" t="n"/>
      <c r="Y25" s="39" t="n"/>
      <c r="Z25" s="11">
        <f>IF(A25&gt;TODAY(),"Upcoming",IF(Y25&lt;&gt;"","✓ Updated",IF(A25+6&gt;=TODAY(),"Due Friday","⚠ Missing")))</f>
        <v/>
      </c>
    </row>
    <row r="26">
      <c r="A26" s="35" t="n">
        <v>46370</v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7" t="n"/>
      <c r="T26" s="37" t="n"/>
      <c r="U26" s="37" t="n"/>
      <c r="V26" s="38" t="n"/>
      <c r="W26" s="38" t="n"/>
      <c r="X26" s="38" t="n"/>
      <c r="Y26" s="39" t="n"/>
      <c r="Z26" s="11">
        <f>IF(A26&gt;TODAY(),"Upcoming",IF(Y26&lt;&gt;"","✓ Updated",IF(A26+6&gt;=TODAY(),"Due Friday","⚠ Missing")))</f>
        <v/>
      </c>
    </row>
    <row r="27">
      <c r="A27" s="35" t="n">
        <v>46377</v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7" t="n"/>
      <c r="T27" s="37" t="n"/>
      <c r="U27" s="37" t="n"/>
      <c r="V27" s="38" t="n"/>
      <c r="W27" s="38" t="n"/>
      <c r="X27" s="38" t="n"/>
      <c r="Y27" s="39" t="n"/>
      <c r="Z27" s="11">
        <f>IF(A27&gt;TODAY(),"Upcoming",IF(Y27&lt;&gt;"","✓ Updated",IF(A27+6&gt;=TODAY(),"Due Friday","⚠ Missing")))</f>
        <v/>
      </c>
    </row>
    <row r="28">
      <c r="A28" s="35" t="n">
        <v>46384</v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7" t="n"/>
      <c r="T28" s="37" t="n"/>
      <c r="U28" s="37" t="n"/>
      <c r="V28" s="38" t="n"/>
      <c r="W28" s="38" t="n"/>
      <c r="X28" s="38" t="n"/>
      <c r="Y28" s="39" t="n"/>
      <c r="Z28" s="11">
        <f>IF(A28&gt;TODAY(),"Upcoming",IF(Y28&lt;&gt;"","✓ Updated",IF(A28+6&gt;=TODAY(),"Due Friday","⚠ Missing")))</f>
        <v/>
      </c>
    </row>
    <row r="29">
      <c r="A29" s="35" t="n">
        <v>46391</v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7" t="n"/>
      <c r="T29" s="37" t="n"/>
      <c r="U29" s="37" t="n"/>
      <c r="V29" s="38" t="n"/>
      <c r="W29" s="38" t="n"/>
      <c r="X29" s="38" t="n"/>
      <c r="Y29" s="39" t="n"/>
      <c r="Z29" s="11">
        <f>IF(A29&gt;TODAY(),"Upcoming",IF(Y29&lt;&gt;"","✓ Updated",IF(A29+6&gt;=TODAY(),"Due Friday","⚠ Missing")))</f>
        <v/>
      </c>
    </row>
    <row r="30">
      <c r="A30" s="35" t="n">
        <v>46398</v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7" t="n"/>
      <c r="T30" s="37" t="n"/>
      <c r="U30" s="37" t="n"/>
      <c r="V30" s="38" t="n"/>
      <c r="W30" s="38" t="n"/>
      <c r="X30" s="38" t="n"/>
      <c r="Y30" s="39" t="n"/>
      <c r="Z30" s="11">
        <f>IF(A30&gt;TODAY(),"Upcoming",IF(Y30&lt;&gt;"","✓ Updated",IF(A30+6&gt;=TODAY(),"Due Friday","⚠ Missing")))</f>
        <v/>
      </c>
    </row>
    <row r="31">
      <c r="A31" s="35" t="n">
        <v>46405</v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7" t="n"/>
      <c r="T31" s="37" t="n"/>
      <c r="U31" s="37" t="n"/>
      <c r="V31" s="38" t="n"/>
      <c r="W31" s="38" t="n"/>
      <c r="X31" s="38" t="n"/>
      <c r="Y31" s="39" t="n"/>
      <c r="Z31" s="11">
        <f>IF(A31&gt;TODAY(),"Upcoming",IF(Y31&lt;&gt;"","✓ Updated",IF(A31+6&gt;=TODAY(),"Due Friday","⚠ Missing")))</f>
        <v/>
      </c>
    </row>
    <row r="32">
      <c r="A32" s="35" t="n">
        <v>46412</v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7" t="n"/>
      <c r="T32" s="37" t="n"/>
      <c r="U32" s="37" t="n"/>
      <c r="V32" s="38" t="n"/>
      <c r="W32" s="38" t="n"/>
      <c r="X32" s="38" t="n"/>
      <c r="Y32" s="39" t="n"/>
      <c r="Z32" s="11">
        <f>IF(A32&gt;TODAY(),"Upcoming",IF(Y32&lt;&gt;"","✓ Updated",IF(A32+6&gt;=TODAY(),"Due Friday","⚠ Missing")))</f>
        <v/>
      </c>
    </row>
    <row r="33">
      <c r="A33" s="35" t="n">
        <v>46419</v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7" t="n"/>
      <c r="T33" s="37" t="n"/>
      <c r="U33" s="37" t="n"/>
      <c r="V33" s="38" t="n"/>
      <c r="W33" s="38" t="n"/>
      <c r="X33" s="38" t="n"/>
      <c r="Y33" s="39" t="n"/>
      <c r="Z33" s="11">
        <f>IF(A33&gt;TODAY(),"Upcoming",IF(Y33&lt;&gt;"","✓ Updated",IF(A33+6&gt;=TODAY(),"Due Friday","⚠ Missing")))</f>
        <v/>
      </c>
    </row>
    <row r="34">
      <c r="A34" s="35" t="n">
        <v>46426</v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7" t="n"/>
      <c r="T34" s="37" t="n"/>
      <c r="U34" s="37" t="n"/>
      <c r="V34" s="38" t="n"/>
      <c r="W34" s="38" t="n"/>
      <c r="X34" s="38" t="n"/>
      <c r="Y34" s="39" t="n"/>
      <c r="Z34" s="11">
        <f>IF(A34&gt;TODAY(),"Upcoming",IF(Y34&lt;&gt;"","✓ Updated",IF(A34+6&gt;=TODAY(),"Due Friday","⚠ Missing")))</f>
        <v/>
      </c>
    </row>
    <row r="35">
      <c r="A35" s="35" t="n">
        <v>46433</v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7" t="n"/>
      <c r="T35" s="37" t="n"/>
      <c r="U35" s="37" t="n"/>
      <c r="V35" s="38" t="n"/>
      <c r="W35" s="38" t="n"/>
      <c r="X35" s="38" t="n"/>
      <c r="Y35" s="39" t="n"/>
      <c r="Z35" s="11">
        <f>IF(A35&gt;TODAY(),"Upcoming",IF(Y35&lt;&gt;"","✓ Updated",IF(A35+6&gt;=TODAY(),"Due Friday","⚠ Missing")))</f>
        <v/>
      </c>
    </row>
    <row r="36">
      <c r="A36" s="35" t="n">
        <v>46440</v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7" t="n"/>
      <c r="T36" s="37" t="n"/>
      <c r="U36" s="37" t="n"/>
      <c r="V36" s="38" t="n"/>
      <c r="W36" s="38" t="n"/>
      <c r="X36" s="38" t="n"/>
      <c r="Y36" s="39" t="n"/>
      <c r="Z36" s="11">
        <f>IF(A36&gt;TODAY(),"Upcoming",IF(Y36&lt;&gt;"","✓ Updated",IF(A36+6&gt;=TODAY(),"Due Friday","⚠ Missing")))</f>
        <v/>
      </c>
    </row>
    <row r="37">
      <c r="A37" s="35" t="n">
        <v>46447</v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7" t="n"/>
      <c r="T37" s="37" t="n"/>
      <c r="U37" s="37" t="n"/>
      <c r="V37" s="38" t="n"/>
      <c r="W37" s="38" t="n"/>
      <c r="X37" s="38" t="n"/>
      <c r="Y37" s="39" t="n"/>
      <c r="Z37" s="11">
        <f>IF(A37&gt;TODAY(),"Upcoming",IF(Y37&lt;&gt;"","✓ Updated",IF(A37+6&gt;=TODAY(),"Due Friday","⚠ Missing")))</f>
        <v/>
      </c>
    </row>
    <row r="38">
      <c r="A38" s="35" t="n">
        <v>46454</v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7" t="n"/>
      <c r="T38" s="37" t="n"/>
      <c r="U38" s="37" t="n"/>
      <c r="V38" s="38" t="n"/>
      <c r="W38" s="38" t="n"/>
      <c r="X38" s="38" t="n"/>
      <c r="Y38" s="39" t="n"/>
      <c r="Z38" s="11">
        <f>IF(A38&gt;TODAY(),"Upcoming",IF(Y38&lt;&gt;"","✓ Updated",IF(A38+6&gt;=TODAY(),"Due Friday","⚠ Missing")))</f>
        <v/>
      </c>
    </row>
    <row r="39">
      <c r="A39" s="35" t="n">
        <v>46461</v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7" t="n"/>
      <c r="T39" s="37" t="n"/>
      <c r="U39" s="37" t="n"/>
      <c r="V39" s="38" t="n"/>
      <c r="W39" s="38" t="n"/>
      <c r="X39" s="38" t="n"/>
      <c r="Y39" s="39" t="n"/>
      <c r="Z39" s="11">
        <f>IF(A39&gt;TODAY(),"Upcoming",IF(Y39&lt;&gt;"","✓ Updated",IF(A39+6&gt;=TODAY(),"Due Friday","⚠ Missing")))</f>
        <v/>
      </c>
    </row>
    <row r="40">
      <c r="A40" s="35" t="n">
        <v>46468</v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7" t="n"/>
      <c r="T40" s="37" t="n"/>
      <c r="U40" s="37" t="n"/>
      <c r="V40" s="38" t="n"/>
      <c r="W40" s="38" t="n"/>
      <c r="X40" s="38" t="n"/>
      <c r="Y40" s="39" t="n"/>
      <c r="Z40" s="11">
        <f>IF(A40&gt;TODAY(),"Upcoming",IF(Y40&lt;&gt;"","✓ Updated",IF(A40+6&gt;=TODAY(),"Due Friday","⚠ Missing")))</f>
        <v/>
      </c>
    </row>
    <row r="41">
      <c r="A41" s="35" t="n">
        <v>46475</v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7" t="n"/>
      <c r="T41" s="37" t="n"/>
      <c r="U41" s="37" t="n"/>
      <c r="V41" s="38" t="n"/>
      <c r="W41" s="38" t="n"/>
      <c r="X41" s="38" t="n"/>
      <c r="Y41" s="39" t="n"/>
      <c r="Z41" s="11">
        <f>IF(A41&gt;TODAY(),"Upcoming",IF(Y41&lt;&gt;"","✓ Updated",IF(A41+6&gt;=TODAY(),"Due Friday","⚠ Missing")))</f>
        <v/>
      </c>
    </row>
    <row r="42">
      <c r="A42" s="35" t="n">
        <v>46482</v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7" t="n"/>
      <c r="T42" s="37" t="n"/>
      <c r="U42" s="37" t="n"/>
      <c r="V42" s="38" t="n"/>
      <c r="W42" s="38" t="n"/>
      <c r="X42" s="38" t="n"/>
      <c r="Y42" s="39" t="n"/>
      <c r="Z42" s="11">
        <f>IF(A42&gt;TODAY(),"Upcoming",IF(Y42&lt;&gt;"","✓ Updated",IF(A42+6&gt;=TODAY(),"Due Friday","⚠ Missing")))</f>
        <v/>
      </c>
    </row>
    <row r="43">
      <c r="A43" s="35" t="n">
        <v>46489</v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7" t="n"/>
      <c r="T43" s="37" t="n"/>
      <c r="U43" s="37" t="n"/>
      <c r="V43" s="38" t="n"/>
      <c r="W43" s="38" t="n"/>
      <c r="X43" s="38" t="n"/>
      <c r="Y43" s="39" t="n"/>
      <c r="Z43" s="11">
        <f>IF(A43&gt;TODAY(),"Upcoming",IF(Y43&lt;&gt;"","✓ Updated",IF(A43+6&gt;=TODAY(),"Due Friday","⚠ Missing")))</f>
        <v/>
      </c>
    </row>
    <row r="44">
      <c r="A44" s="35" t="n">
        <v>46496</v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7" t="n"/>
      <c r="T44" s="37" t="n"/>
      <c r="U44" s="37" t="n"/>
      <c r="V44" s="38" t="n"/>
      <c r="W44" s="38" t="n"/>
      <c r="X44" s="38" t="n"/>
      <c r="Y44" s="39" t="n"/>
      <c r="Z44" s="11">
        <f>IF(A44&gt;TODAY(),"Upcoming",IF(Y44&lt;&gt;"","✓ Updated",IF(A44+6&gt;=TODAY(),"Due Friday","⚠ Missing")))</f>
        <v/>
      </c>
    </row>
    <row r="45">
      <c r="A45" s="35" t="n">
        <v>46503</v>
      </c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7" t="n"/>
      <c r="T45" s="37" t="n"/>
      <c r="U45" s="37" t="n"/>
      <c r="V45" s="38" t="n"/>
      <c r="W45" s="38" t="n"/>
      <c r="X45" s="38" t="n"/>
      <c r="Y45" s="39" t="n"/>
      <c r="Z45" s="11">
        <f>IF(A45&gt;TODAY(),"Upcoming",IF(Y45&lt;&gt;"","✓ Updated",IF(A45+6&gt;=TODAY(),"Due Friday","⚠ Missing")))</f>
        <v/>
      </c>
    </row>
    <row r="46">
      <c r="A46" s="35" t="n">
        <v>46510</v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7" t="n"/>
      <c r="T46" s="37" t="n"/>
      <c r="U46" s="37" t="n"/>
      <c r="V46" s="38" t="n"/>
      <c r="W46" s="38" t="n"/>
      <c r="X46" s="38" t="n"/>
      <c r="Y46" s="39" t="n"/>
      <c r="Z46" s="11">
        <f>IF(A46&gt;TODAY(),"Upcoming",IF(Y46&lt;&gt;"","✓ Updated",IF(A46+6&gt;=TODAY(),"Due Friday","⚠ Missing")))</f>
        <v/>
      </c>
    </row>
    <row r="47">
      <c r="A47" s="35" t="n">
        <v>46517</v>
      </c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7" t="n"/>
      <c r="T47" s="37" t="n"/>
      <c r="U47" s="37" t="n"/>
      <c r="V47" s="38" t="n"/>
      <c r="W47" s="38" t="n"/>
      <c r="X47" s="38" t="n"/>
      <c r="Y47" s="39" t="n"/>
      <c r="Z47" s="11">
        <f>IF(A47&gt;TODAY(),"Upcoming",IF(Y47&lt;&gt;"","✓ Updated",IF(A47+6&gt;=TODAY(),"Due Friday","⚠ Missing")))</f>
        <v/>
      </c>
    </row>
    <row r="48">
      <c r="A48" s="35" t="n">
        <v>46524</v>
      </c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7" t="n"/>
      <c r="T48" s="37" t="n"/>
      <c r="U48" s="37" t="n"/>
      <c r="V48" s="38" t="n"/>
      <c r="W48" s="38" t="n"/>
      <c r="X48" s="38" t="n"/>
      <c r="Y48" s="39" t="n"/>
      <c r="Z48" s="11">
        <f>IF(A48&gt;TODAY(),"Upcoming",IF(Y48&lt;&gt;"","✓ Updated",IF(A48+6&gt;=TODAY(),"Due Friday","⚠ Missing")))</f>
        <v/>
      </c>
    </row>
    <row r="49">
      <c r="A49" s="35" t="n">
        <v>46531</v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7" t="n"/>
      <c r="T49" s="37" t="n"/>
      <c r="U49" s="37" t="n"/>
      <c r="V49" s="38" t="n"/>
      <c r="W49" s="38" t="n"/>
      <c r="X49" s="38" t="n"/>
      <c r="Y49" s="39" t="n"/>
      <c r="Z49" s="11">
        <f>IF(A49&gt;TODAY(),"Upcoming",IF(Y49&lt;&gt;"","✓ Updated",IF(A49+6&gt;=TODAY(),"Due Friday","⚠ Missing")))</f>
        <v/>
      </c>
    </row>
    <row r="50">
      <c r="A50" s="35" t="n">
        <v>46538</v>
      </c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7" t="n"/>
      <c r="T50" s="37" t="n"/>
      <c r="U50" s="37" t="n"/>
      <c r="V50" s="38" t="n"/>
      <c r="W50" s="38" t="n"/>
      <c r="X50" s="38" t="n"/>
      <c r="Y50" s="39" t="n"/>
      <c r="Z50" s="11">
        <f>IF(A50&gt;TODAY(),"Upcoming",IF(Y50&lt;&gt;"","✓ Updated",IF(A50+6&gt;=TODAY(),"Due Friday","⚠ Missing")))</f>
        <v/>
      </c>
    </row>
    <row r="51">
      <c r="A51" s="35" t="n">
        <v>46545</v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7" t="n"/>
      <c r="T51" s="37" t="n"/>
      <c r="U51" s="37" t="n"/>
      <c r="V51" s="38" t="n"/>
      <c r="W51" s="38" t="n"/>
      <c r="X51" s="38" t="n"/>
      <c r="Y51" s="39" t="n"/>
      <c r="Z51" s="11">
        <f>IF(A51&gt;TODAY(),"Upcoming",IF(Y51&lt;&gt;"","✓ Updated",IF(A51+6&gt;=TODAY(),"Due Friday","⚠ Missing")))</f>
        <v/>
      </c>
    </row>
    <row r="52">
      <c r="A52" s="35" t="n">
        <v>46552</v>
      </c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7" t="n"/>
      <c r="T52" s="37" t="n"/>
      <c r="U52" s="37" t="n"/>
      <c r="V52" s="38" t="n"/>
      <c r="W52" s="38" t="n"/>
      <c r="X52" s="38" t="n"/>
      <c r="Y52" s="39" t="n"/>
      <c r="Z52" s="11">
        <f>IF(A52&gt;TODAY(),"Upcoming",IF(Y52&lt;&gt;"","✓ Updated",IF(A52+6&gt;=TODAY(),"Due Friday","⚠ Missing")))</f>
        <v/>
      </c>
    </row>
    <row r="53">
      <c r="A53" s="35" t="n">
        <v>46559</v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7" t="n"/>
      <c r="T53" s="37" t="n"/>
      <c r="U53" s="37" t="n"/>
      <c r="V53" s="38" t="n"/>
      <c r="W53" s="38" t="n"/>
      <c r="X53" s="38" t="n"/>
      <c r="Y53" s="39" t="n"/>
      <c r="Z53" s="11">
        <f>IF(A53&gt;TODAY(),"Upcoming",IF(Y53&lt;&gt;"","✓ Updated",IF(A53+6&gt;=TODAY(),"Due Friday","⚠ Missing")))</f>
        <v/>
      </c>
    </row>
    <row r="54">
      <c r="A54" s="35" t="n">
        <v>46566</v>
      </c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7" t="n"/>
      <c r="T54" s="37" t="n"/>
      <c r="U54" s="37" t="n"/>
      <c r="V54" s="38" t="n"/>
      <c r="W54" s="38" t="n"/>
      <c r="X54" s="38" t="n"/>
      <c r="Y54" s="39" t="n"/>
      <c r="Z54" s="11">
        <f>IF(A54&gt;TODAY(),"Upcoming",IF(Y54&lt;&gt;"","✓ Updated",IF(A54+6&gt;=TODAY(),"Due Friday","⚠ Missing")))</f>
        <v/>
      </c>
    </row>
    <row r="55">
      <c r="A55" s="35" t="n">
        <v>46573</v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7" t="n"/>
      <c r="T55" s="37" t="n"/>
      <c r="U55" s="37" t="n"/>
      <c r="V55" s="38" t="n"/>
      <c r="W55" s="38" t="n"/>
      <c r="X55" s="38" t="n"/>
      <c r="Y55" s="39" t="n"/>
      <c r="Z55" s="11">
        <f>IF(A55&gt;TODAY(),"Upcoming",IF(Y55&lt;&gt;"","✓ Updated",IF(A55+6&gt;=TODAY(),"Due Friday","⚠ Missing")))</f>
        <v/>
      </c>
    </row>
    <row r="56">
      <c r="A56" s="35" t="n">
        <v>46580</v>
      </c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7" t="n"/>
      <c r="T56" s="37" t="n"/>
      <c r="U56" s="37" t="n"/>
      <c r="V56" s="38" t="n"/>
      <c r="W56" s="38" t="n"/>
      <c r="X56" s="38" t="n"/>
      <c r="Y56" s="39" t="n"/>
      <c r="Z56" s="11">
        <f>IF(A56&gt;TODAY(),"Upcoming",IF(Y56&lt;&gt;"","✓ Updated",IF(A56+6&gt;=TODAY(),"Due Friday","⚠ Missing")))</f>
        <v/>
      </c>
    </row>
    <row r="57">
      <c r="A57" s="35" t="n">
        <v>46587</v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7" t="n"/>
      <c r="T57" s="37" t="n"/>
      <c r="U57" s="37" t="n"/>
      <c r="V57" s="38" t="n"/>
      <c r="W57" s="38" t="n"/>
      <c r="X57" s="38" t="n"/>
      <c r="Y57" s="39" t="n"/>
      <c r="Z57" s="11">
        <f>IF(A57&gt;TODAY(),"Upcoming",IF(Y57&lt;&gt;"","✓ Updated",IF(A57+6&gt;=TODAY(),"Due Friday","⚠ Missing")))</f>
        <v/>
      </c>
    </row>
    <row r="58">
      <c r="A58" s="35" t="n">
        <v>46594</v>
      </c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7" t="n"/>
      <c r="T58" s="37" t="n"/>
      <c r="U58" s="37" t="n"/>
      <c r="V58" s="38" t="n"/>
      <c r="W58" s="38" t="n"/>
      <c r="X58" s="38" t="n"/>
      <c r="Y58" s="39" t="n"/>
      <c r="Z58" s="11">
        <f>IF(A58&gt;TODAY(),"Upcoming",IF(Y58&lt;&gt;"","✓ Updated",IF(A58+6&gt;=TODAY(),"Due Friday","⚠ Missing")))</f>
        <v/>
      </c>
    </row>
    <row r="59">
      <c r="A59" s="35" t="n">
        <v>46601</v>
      </c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7" t="n"/>
      <c r="T59" s="37" t="n"/>
      <c r="U59" s="37" t="n"/>
      <c r="V59" s="38" t="n"/>
      <c r="W59" s="38" t="n"/>
      <c r="X59" s="38" t="n"/>
      <c r="Y59" s="39" t="n"/>
      <c r="Z59" s="11">
        <f>IF(A59&gt;TODAY(),"Upcoming",IF(Y59&lt;&gt;"","✓ Updated",IF(A59+6&gt;=TODAY(),"Due Friday","⚠ Missing")))</f>
        <v/>
      </c>
    </row>
    <row r="60">
      <c r="A60" s="35" t="n">
        <v>46608</v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7" t="n"/>
      <c r="T60" s="37" t="n"/>
      <c r="U60" s="37" t="n"/>
      <c r="V60" s="38" t="n"/>
      <c r="W60" s="38" t="n"/>
      <c r="X60" s="38" t="n"/>
      <c r="Y60" s="39" t="n"/>
      <c r="Z60" s="11">
        <f>IF(A60&gt;TODAY(),"Upcoming",IF(Y60&lt;&gt;"","✓ Updated",IF(A60+6&gt;=TODAY(),"Due Friday","⚠ Missing")))</f>
        <v/>
      </c>
    </row>
    <row r="61">
      <c r="A61" s="35" t="n">
        <v>46615</v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7" t="n"/>
      <c r="T61" s="37" t="n"/>
      <c r="U61" s="37" t="n"/>
      <c r="V61" s="38" t="n"/>
      <c r="W61" s="38" t="n"/>
      <c r="X61" s="38" t="n"/>
      <c r="Y61" s="39" t="n"/>
      <c r="Z61" s="11">
        <f>IF(A61&gt;TODAY(),"Upcoming",IF(Y61&lt;&gt;"","✓ Updated",IF(A61+6&gt;=TODAY(),"Due Friday","⚠ Missing")))</f>
        <v/>
      </c>
    </row>
    <row r="62">
      <c r="A62" s="35" t="n">
        <v>46622</v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7" t="n"/>
      <c r="T62" s="37" t="n"/>
      <c r="U62" s="37" t="n"/>
      <c r="V62" s="38" t="n"/>
      <c r="W62" s="38" t="n"/>
      <c r="X62" s="38" t="n"/>
      <c r="Y62" s="39" t="n"/>
      <c r="Z62" s="11">
        <f>IF(A62&gt;TODAY(),"Upcoming",IF(Y62&lt;&gt;"","✓ Updated",IF(A62+6&gt;=TODAY(),"Due Friday","⚠ Missing")))</f>
        <v/>
      </c>
    </row>
    <row r="63">
      <c r="A63" s="35" t="n">
        <v>46629</v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7" t="n"/>
      <c r="T63" s="37" t="n"/>
      <c r="U63" s="37" t="n"/>
      <c r="V63" s="38" t="n"/>
      <c r="W63" s="38" t="n"/>
      <c r="X63" s="38" t="n"/>
      <c r="Y63" s="39" t="n"/>
      <c r="Z63" s="11">
        <f>IF(A63&gt;TODAY(),"Upcoming",IF(Y63&lt;&gt;"","✓ Updated",IF(A63+6&gt;=TODAY(),"Due Friday","⚠ Missing")))</f>
        <v/>
      </c>
    </row>
    <row r="64">
      <c r="A64" s="35" t="n">
        <v>46636</v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7" t="n"/>
      <c r="T64" s="37" t="n"/>
      <c r="U64" s="37" t="n"/>
      <c r="V64" s="38" t="n"/>
      <c r="W64" s="38" t="n"/>
      <c r="X64" s="38" t="n"/>
      <c r="Y64" s="39" t="n"/>
      <c r="Z64" s="11">
        <f>IF(A64&gt;TODAY(),"Upcoming",IF(Y64&lt;&gt;"","✓ Updated",IF(A64+6&gt;=TODAY(),"Due Friday","⚠ Missing")))</f>
        <v/>
      </c>
    </row>
    <row r="65">
      <c r="A65" s="35" t="n">
        <v>46643</v>
      </c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7" t="n"/>
      <c r="T65" s="37" t="n"/>
      <c r="U65" s="37" t="n"/>
      <c r="V65" s="38" t="n"/>
      <c r="W65" s="38" t="n"/>
      <c r="X65" s="38" t="n"/>
      <c r="Y65" s="39" t="n"/>
      <c r="Z65" s="11">
        <f>IF(A65&gt;TODAY(),"Upcoming",IF(Y65&lt;&gt;"","✓ Updated",IF(A65+6&gt;=TODAY(),"Due Friday","⚠ Missing")))</f>
        <v/>
      </c>
    </row>
    <row r="66">
      <c r="A66" s="35" t="n">
        <v>46650</v>
      </c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7" t="n"/>
      <c r="T66" s="37" t="n"/>
      <c r="U66" s="37" t="n"/>
      <c r="V66" s="38" t="n"/>
      <c r="W66" s="38" t="n"/>
      <c r="X66" s="38" t="n"/>
      <c r="Y66" s="39" t="n"/>
      <c r="Z66" s="11">
        <f>IF(A66&gt;TODAY(),"Upcoming",IF(Y66&lt;&gt;"","✓ Updated",IF(A66+6&gt;=TODAY(),"Due Friday","⚠ Missing")))</f>
        <v/>
      </c>
    </row>
    <row r="67">
      <c r="A67" s="35" t="n">
        <v>46657</v>
      </c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7" t="n"/>
      <c r="T67" s="37" t="n"/>
      <c r="U67" s="37" t="n"/>
      <c r="V67" s="38" t="n"/>
      <c r="W67" s="38" t="n"/>
      <c r="X67" s="38" t="n"/>
      <c r="Y67" s="39" t="n"/>
      <c r="Z67" s="11">
        <f>IF(A67&gt;TODAY(),"Upcoming",IF(Y67&lt;&gt;"","✓ Updated",IF(A67+6&gt;=TODAY(),"Due Friday","⚠ Missing")))</f>
        <v/>
      </c>
    </row>
    <row r="68">
      <c r="A68" s="35" t="n">
        <v>46664</v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7" t="n"/>
      <c r="T68" s="37" t="n"/>
      <c r="U68" s="37" t="n"/>
      <c r="V68" s="38" t="n"/>
      <c r="W68" s="38" t="n"/>
      <c r="X68" s="38" t="n"/>
      <c r="Y68" s="39" t="n"/>
      <c r="Z68" s="11">
        <f>IF(A68&gt;TODAY(),"Upcoming",IF(Y68&lt;&gt;"","✓ Updated",IF(A68+6&gt;=TODAY(),"Due Friday","⚠ Missing")))</f>
        <v/>
      </c>
    </row>
    <row r="69">
      <c r="A69" s="35" t="n">
        <v>46671</v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7" t="n"/>
      <c r="T69" s="37" t="n"/>
      <c r="U69" s="37" t="n"/>
      <c r="V69" s="38" t="n"/>
      <c r="W69" s="38" t="n"/>
      <c r="X69" s="38" t="n"/>
      <c r="Y69" s="39" t="n"/>
      <c r="Z69" s="11">
        <f>IF(A69&gt;TODAY(),"Upcoming",IF(Y69&lt;&gt;"","✓ Updated",IF(A69+6&gt;=TODAY(),"Due Friday","⚠ Missing")))</f>
        <v/>
      </c>
    </row>
    <row r="70">
      <c r="A70" s="35" t="n">
        <v>46678</v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7" t="n"/>
      <c r="T70" s="37" t="n"/>
      <c r="U70" s="37" t="n"/>
      <c r="V70" s="38" t="n"/>
      <c r="W70" s="38" t="n"/>
      <c r="X70" s="38" t="n"/>
      <c r="Y70" s="39" t="n"/>
      <c r="Z70" s="11">
        <f>IF(A70&gt;TODAY(),"Upcoming",IF(Y70&lt;&gt;"","✓ Updated",IF(A70+6&gt;=TODAY(),"Due Friday","⚠ Missing")))</f>
        <v/>
      </c>
    </row>
    <row r="71">
      <c r="A71" s="35" t="n">
        <v>46685</v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7" t="n"/>
      <c r="T71" s="37" t="n"/>
      <c r="U71" s="37" t="n"/>
      <c r="V71" s="38" t="n"/>
      <c r="W71" s="38" t="n"/>
      <c r="X71" s="38" t="n"/>
      <c r="Y71" s="39" t="n"/>
      <c r="Z71" s="11">
        <f>IF(A71&gt;TODAY(),"Upcoming",IF(Y71&lt;&gt;"","✓ Updated",IF(A71+6&gt;=TODAY(),"Due Friday","⚠ Missing")))</f>
        <v/>
      </c>
    </row>
    <row r="72">
      <c r="A72" s="35" t="n">
        <v>46692</v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7" t="n"/>
      <c r="T72" s="37" t="n"/>
      <c r="U72" s="37" t="n"/>
      <c r="V72" s="38" t="n"/>
      <c r="W72" s="38" t="n"/>
      <c r="X72" s="38" t="n"/>
      <c r="Y72" s="39" t="n"/>
      <c r="Z72" s="11">
        <f>IF(A72&gt;TODAY(),"Upcoming",IF(Y72&lt;&gt;"","✓ Updated",IF(A72+6&gt;=TODAY(),"Due Friday","⚠ Missing")))</f>
        <v/>
      </c>
    </row>
    <row r="73">
      <c r="A73" s="35" t="n">
        <v>46699</v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7" t="n"/>
      <c r="T73" s="37" t="n"/>
      <c r="U73" s="37" t="n"/>
      <c r="V73" s="38" t="n"/>
      <c r="W73" s="38" t="n"/>
      <c r="X73" s="38" t="n"/>
      <c r="Y73" s="39" t="n"/>
      <c r="Z73" s="11">
        <f>IF(A73&gt;TODAY(),"Upcoming",IF(Y73&lt;&gt;"","✓ Updated",IF(A73+6&gt;=TODAY(),"Due Friday","⚠ Missing")))</f>
        <v/>
      </c>
    </row>
    <row r="74">
      <c r="A74" s="35" t="n">
        <v>46706</v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7" t="n"/>
      <c r="T74" s="37" t="n"/>
      <c r="U74" s="37" t="n"/>
      <c r="V74" s="38" t="n"/>
      <c r="W74" s="38" t="n"/>
      <c r="X74" s="38" t="n"/>
      <c r="Y74" s="39" t="n"/>
      <c r="Z74" s="11">
        <f>IF(A74&gt;TODAY(),"Upcoming",IF(Y74&lt;&gt;"","✓ Updated",IF(A74+6&gt;=TODAY(),"Due Friday","⚠ Missing")))</f>
        <v/>
      </c>
    </row>
    <row r="75">
      <c r="A75" s="35" t="n">
        <v>46713</v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7" t="n"/>
      <c r="T75" s="37" t="n"/>
      <c r="U75" s="37" t="n"/>
      <c r="V75" s="38" t="n"/>
      <c r="W75" s="38" t="n"/>
      <c r="X75" s="38" t="n"/>
      <c r="Y75" s="39" t="n"/>
      <c r="Z75" s="11">
        <f>IF(A75&gt;TODAY(),"Upcoming",IF(Y75&lt;&gt;"","✓ Updated",IF(A75+6&gt;=TODAY(),"Due Friday","⚠ Missing")))</f>
        <v/>
      </c>
    </row>
    <row r="76">
      <c r="A76" s="35" t="n">
        <v>46720</v>
      </c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7" t="n"/>
      <c r="T76" s="37" t="n"/>
      <c r="U76" s="37" t="n"/>
      <c r="V76" s="38" t="n"/>
      <c r="W76" s="38" t="n"/>
      <c r="X76" s="38" t="n"/>
      <c r="Y76" s="39" t="n"/>
      <c r="Z76" s="11">
        <f>IF(A76&gt;TODAY(),"Upcoming",IF(Y76&lt;&gt;"","✓ Updated",IF(A76+6&gt;=TODAY(),"Due Friday","⚠ Missing")))</f>
        <v/>
      </c>
    </row>
    <row r="77">
      <c r="A77" s="35" t="n">
        <v>46727</v>
      </c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7" t="n"/>
      <c r="T77" s="37" t="n"/>
      <c r="U77" s="37" t="n"/>
      <c r="V77" s="38" t="n"/>
      <c r="W77" s="38" t="n"/>
      <c r="X77" s="38" t="n"/>
      <c r="Y77" s="39" t="n"/>
      <c r="Z77" s="11">
        <f>IF(A77&gt;TODAY(),"Upcoming",IF(Y77&lt;&gt;"","✓ Updated",IF(A77+6&gt;=TODAY(),"Due Friday","⚠ Missing")))</f>
        <v/>
      </c>
    </row>
    <row r="78">
      <c r="A78" s="35" t="n">
        <v>46734</v>
      </c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7" t="n"/>
      <c r="T78" s="37" t="n"/>
      <c r="U78" s="37" t="n"/>
      <c r="V78" s="38" t="n"/>
      <c r="W78" s="38" t="n"/>
      <c r="X78" s="38" t="n"/>
      <c r="Y78" s="39" t="n"/>
      <c r="Z78" s="11">
        <f>IF(A78&gt;TODAY(),"Upcoming",IF(Y78&lt;&gt;"","✓ Updated",IF(A78+6&gt;=TODAY(),"Due Friday","⚠ Missing")))</f>
        <v/>
      </c>
    </row>
    <row r="79">
      <c r="A79" s="35" t="n">
        <v>46741</v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7" t="n"/>
      <c r="T79" s="37" t="n"/>
      <c r="U79" s="37" t="n"/>
      <c r="V79" s="38" t="n"/>
      <c r="W79" s="38" t="n"/>
      <c r="X79" s="38" t="n"/>
      <c r="Y79" s="39" t="n"/>
      <c r="Z79" s="11">
        <f>IF(A79&gt;TODAY(),"Upcoming",IF(Y79&lt;&gt;"","✓ Updated",IF(A79+6&gt;=TODAY(),"Due Friday","⚠ Missing")))</f>
        <v/>
      </c>
    </row>
    <row r="80">
      <c r="A80" s="35" t="n">
        <v>46748</v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7" t="n"/>
      <c r="T80" s="37" t="n"/>
      <c r="U80" s="37" t="n"/>
      <c r="V80" s="38" t="n"/>
      <c r="W80" s="38" t="n"/>
      <c r="X80" s="38" t="n"/>
      <c r="Y80" s="39" t="n"/>
      <c r="Z80" s="11">
        <f>IF(A80&gt;TODAY(),"Upcoming",IF(Y80&lt;&gt;"","✓ Updated",IF(A80+6&gt;=TODAY(),"Due Friday","⚠ Missing")))</f>
        <v/>
      </c>
    </row>
  </sheetData>
  <mergeCells count="18">
    <mergeCell ref="H6:J6"/>
    <mergeCell ref="H10:J10"/>
    <mergeCell ref="A7:B7"/>
    <mergeCell ref="A1:Z1"/>
    <mergeCell ref="A11:B11"/>
    <mergeCell ref="H5:J5"/>
    <mergeCell ref="A10:B10"/>
    <mergeCell ref="A5:B5"/>
    <mergeCell ref="H8:J8"/>
    <mergeCell ref="H9:J9"/>
    <mergeCell ref="A4:F4"/>
    <mergeCell ref="A2:Z2"/>
    <mergeCell ref="A9:B9"/>
    <mergeCell ref="A8:B8"/>
    <mergeCell ref="H11:J11"/>
    <mergeCell ref="A6:B6"/>
    <mergeCell ref="H7:J7"/>
    <mergeCell ref="A12:B12"/>
  </mergeCells>
  <conditionalFormatting sqref="F6:F12">
    <cfRule type="cellIs" priority="1" operator="equal" dxfId="3">
      <formula>"On pace"</formula>
    </cfRule>
    <cfRule type="cellIs" priority="2" operator="equal" dxfId="4">
      <formula>"Behind"</formula>
    </cfRule>
  </conditionalFormatting>
  <conditionalFormatting sqref="Z15:Z80">
    <cfRule type="cellIs" priority="3" operator="equal" dxfId="0">
      <formula>"⚠ Missing"</formula>
    </cfRule>
    <cfRule type="cellIs" priority="4" operator="equal" dxfId="1">
      <formula>"✓ Updated"</formula>
    </cfRule>
    <cfRule type="cellIs" priority="5" operator="equal" dxfId="5">
      <formula>"Due Friday"</formula>
    </cfRule>
  </conditionalFormatting>
  <conditionalFormatting sqref="A15:X80">
    <cfRule type="expression" priority="6" dxfId="6">
      <formula>AND($A15&lt;=TODAY(),$A15+6&gt;=TODAY())</formula>
    </cfRule>
  </conditionalFormatting>
  <dataValidations count="1">
    <dataValidation sqref="B15:U80" showDropDown="0" showInputMessage="0" showErrorMessage="1" allowBlank="1" errorTitle="Numbers only" error="Please enter a number (0 or more)." type="decimal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9A227"/>
    <outlinePr summaryBelow="1" summaryRight="1"/>
    <pageSetUpPr/>
  </sheetPr>
  <dimension ref="A1:F3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22" customWidth="1" min="3" max="3"/>
    <col width="22" customWidth="1" min="4" max="4"/>
    <col width="22" customWidth="1" min="5" max="5"/>
    <col hidden="1" width="13" customWidth="1" min="6" max="6"/>
  </cols>
  <sheetData>
    <row r="1" ht="34" customHeight="1">
      <c r="A1" s="1">
        <f>IF('Settings'!B17="","Agent 4",'Settings'!B17)&amp;" — Business Development &amp; Growth Assessment"</f>
        <v/>
      </c>
    </row>
    <row r="2" ht="44" customHeight="1">
      <c r="A2" s="5" t="inlineStr">
        <is>
          <t>THE PRAEDIUM GROUP  •  This assessment helps us understand where you are today, where your time is going, and what training, structure, or support could help you grow. There are no “right” answers — answer based on what your business actually looks like today. Estimates are completely acceptable. Yellow cells are yours to fill in.</t>
        </is>
      </c>
    </row>
    <row r="3">
      <c r="B3" s="40" t="inlineStr">
        <is>
          <t>Completion:</t>
        </is>
      </c>
      <c r="C3" s="41">
        <f>IFERROR(SUMPRODUCT((F5:F400=1)*(C5:C400&lt;&gt;""))/SUM(F5:F400),0)</f>
        <v/>
      </c>
    </row>
    <row r="5" ht="24" customHeight="1">
      <c r="A5" s="42" t="inlineStr">
        <is>
          <t>1. ABOUT YOUR BUSINESS TODAY</t>
        </is>
      </c>
    </row>
    <row r="6">
      <c r="B6" s="43" t="inlineStr">
        <is>
          <t>Market Center / KW Office</t>
        </is>
      </c>
      <c r="C6" s="44" t="n"/>
      <c r="D6" s="28" t="n"/>
      <c r="E6" s="28" t="n"/>
      <c r="F6" t="n">
        <v>1</v>
      </c>
    </row>
    <row r="7">
      <c r="B7" s="43" t="inlineStr">
        <is>
          <t>How long have you been licensed in real estate?</t>
        </is>
      </c>
      <c r="C7" s="44" t="n"/>
      <c r="D7" s="28" t="n"/>
      <c r="E7" s="28" t="n"/>
      <c r="F7" t="n">
        <v>1</v>
      </c>
    </row>
    <row r="8">
      <c r="B8" s="43" t="inlineStr">
        <is>
          <t>How long have you actively worked in commercial real estate?</t>
        </is>
      </c>
      <c r="C8" s="44" t="n"/>
      <c r="D8" s="28" t="n"/>
      <c r="E8" s="28" t="n"/>
      <c r="F8" t="n">
        <v>1</v>
      </c>
    </row>
    <row r="9">
      <c r="B9" s="43" t="inlineStr">
        <is>
          <t>How would you describe your current real estate business?</t>
        </is>
      </c>
      <c r="C9" s="44" t="n"/>
      <c r="D9" s="28" t="n"/>
      <c r="E9" s="28" t="n"/>
      <c r="F9" t="n">
        <v>1</v>
      </c>
    </row>
    <row r="10" ht="48" customHeight="1">
      <c r="B10" s="43" t="inlineStr">
        <is>
          <t>If you selected Other, please explain:</t>
        </is>
      </c>
      <c r="C10" s="44" t="n"/>
      <c r="D10" s="28" t="n"/>
      <c r="E10" s="28" t="n"/>
      <c r="F10" t="n">
        <v>1</v>
      </c>
    </row>
    <row r="11">
      <c r="B11" s="43" t="inlineStr">
        <is>
          <t>Is real estate currently your primary occupation?</t>
        </is>
      </c>
      <c r="C11" s="44" t="n"/>
      <c r="D11" s="28" t="n"/>
      <c r="E11" s="28" t="n"/>
      <c r="F11" t="n">
        <v>1</v>
      </c>
    </row>
    <row r="12" ht="48" customHeight="1">
      <c r="B12" s="43" t="inlineStr">
        <is>
          <t>If not, what other work or major commitments currently compete for your time?</t>
        </is>
      </c>
      <c r="C12" s="44" t="n"/>
      <c r="D12" s="28" t="n"/>
      <c r="E12" s="28" t="n"/>
      <c r="F12" t="n">
        <v>1</v>
      </c>
    </row>
    <row r="14" ht="24" customHeight="1">
      <c r="A14" s="42" t="inlineStr">
        <is>
          <t>2. YOUR CURRENT WORK WEEK</t>
        </is>
      </c>
    </row>
    <row r="15" ht="28" customHeight="1">
      <c r="A15" s="45" t="inlineStr">
        <is>
          <t>We want to understand what your schedule actually looks like today.</t>
        </is>
      </c>
    </row>
    <row r="16">
      <c r="B16" s="43" t="inlineStr">
        <is>
          <t>On average, how many days per week do you currently spend working on real estate?</t>
        </is>
      </c>
      <c r="C16" s="44" t="n"/>
      <c r="D16" s="28" t="n"/>
      <c r="E16" s="28" t="n"/>
      <c r="F16" t="n">
        <v>1</v>
      </c>
    </row>
    <row r="17">
      <c r="B17" s="43" t="inlineStr">
        <is>
          <t>How many hours do you work on real estate during a typical day?</t>
        </is>
      </c>
      <c r="C17" s="44" t="n"/>
      <c r="D17" s="28" t="n"/>
      <c r="E17" s="28" t="n"/>
      <c r="F17" t="n">
        <v>1</v>
      </c>
    </row>
    <row r="18">
      <c r="B18" s="43" t="inlineStr">
        <is>
          <t>What time do you normally begin your workday?</t>
        </is>
      </c>
      <c r="C18" s="44" t="n"/>
      <c r="D18" s="28" t="n"/>
      <c r="E18" s="28" t="n"/>
      <c r="F18" t="n">
        <v>1</v>
      </c>
    </row>
    <row r="19">
      <c r="B19" s="43" t="inlineStr">
        <is>
          <t>What time do you normally finish your workday?</t>
        </is>
      </c>
      <c r="C19" s="44" t="n"/>
      <c r="D19" s="28" t="n"/>
      <c r="E19" s="28" t="n"/>
      <c r="F19" t="n">
        <v>1</v>
      </c>
    </row>
    <row r="20">
      <c r="B20" s="43" t="inlineStr">
        <is>
          <t>Is your schedule generally consistent from day to day?</t>
        </is>
      </c>
      <c r="C20" s="44" t="n"/>
      <c r="D20" s="28" t="n"/>
      <c r="E20" s="28" t="n"/>
      <c r="F20" t="n">
        <v>1</v>
      </c>
    </row>
    <row r="22">
      <c r="B22" s="46" t="inlineStr">
        <is>
          <t>Day</t>
        </is>
      </c>
      <c r="C22" s="46" t="inlineStr">
        <is>
          <t>Usually Work?</t>
        </is>
      </c>
      <c r="D22" s="46" t="inlineStr">
        <is>
          <t>Approx. Hours</t>
        </is>
      </c>
    </row>
    <row r="23">
      <c r="B23" s="47" t="inlineStr">
        <is>
          <t>Monday</t>
        </is>
      </c>
      <c r="C23" s="36" t="n"/>
      <c r="D23" s="36" t="n"/>
      <c r="F23" t="n">
        <v>1</v>
      </c>
    </row>
    <row r="24">
      <c r="B24" s="47" t="inlineStr">
        <is>
          <t>Tuesday</t>
        </is>
      </c>
      <c r="C24" s="36" t="n"/>
      <c r="D24" s="36" t="n"/>
      <c r="F24" t="n">
        <v>1</v>
      </c>
    </row>
    <row r="25">
      <c r="B25" s="47" t="inlineStr">
        <is>
          <t>Wednesday</t>
        </is>
      </c>
      <c r="C25" s="36" t="n"/>
      <c r="D25" s="36" t="n"/>
      <c r="F25" t="n">
        <v>1</v>
      </c>
    </row>
    <row r="26">
      <c r="B26" s="47" t="inlineStr">
        <is>
          <t>Thursday</t>
        </is>
      </c>
      <c r="C26" s="36" t="n"/>
      <c r="D26" s="36" t="n"/>
      <c r="F26" t="n">
        <v>1</v>
      </c>
    </row>
    <row r="27">
      <c r="B27" s="47" t="inlineStr">
        <is>
          <t>Friday</t>
        </is>
      </c>
      <c r="C27" s="36" t="n"/>
      <c r="D27" s="36" t="n"/>
      <c r="F27" t="n">
        <v>1</v>
      </c>
    </row>
    <row r="28">
      <c r="B28" s="47" t="inlineStr">
        <is>
          <t>Saturday</t>
        </is>
      </c>
      <c r="C28" s="36" t="n"/>
      <c r="D28" s="36" t="n"/>
      <c r="F28" t="n">
        <v>1</v>
      </c>
    </row>
    <row r="29">
      <c r="B29" s="47" t="inlineStr">
        <is>
          <t>Sunday</t>
        </is>
      </c>
      <c r="C29" s="36" t="n"/>
      <c r="D29" s="36" t="n"/>
      <c r="F29" t="n">
        <v>1</v>
      </c>
    </row>
    <row r="31">
      <c r="B31" s="48" t="inlineStr">
        <is>
          <t>How is your typical real estate week divided?</t>
        </is>
      </c>
    </row>
    <row r="32">
      <c r="B32" s="46" t="inlineStr">
        <is>
          <t>Area</t>
        </is>
      </c>
      <c r="C32" s="46" t="inlineStr">
        <is>
          <t>Hours / Week</t>
        </is>
      </c>
    </row>
    <row r="33">
      <c r="B33" s="47" t="inlineStr">
        <is>
          <t>Commercial Real Estate</t>
        </is>
      </c>
      <c r="C33" s="36" t="n"/>
      <c r="F33" t="n">
        <v>1</v>
      </c>
    </row>
    <row r="34">
      <c r="B34" s="47" t="inlineStr">
        <is>
          <t>Residential Real Estate</t>
        </is>
      </c>
      <c r="C34" s="36" t="n"/>
      <c r="F34" t="n">
        <v>1</v>
      </c>
    </row>
    <row r="35">
      <c r="B35" s="47" t="inlineStr">
        <is>
          <t>Administrative / Business Operations</t>
        </is>
      </c>
      <c r="C35" s="36" t="n"/>
      <c r="F35" t="n">
        <v>1</v>
      </c>
    </row>
    <row r="36">
      <c r="B36" s="47" t="inlineStr">
        <is>
          <t>Other</t>
        </is>
      </c>
      <c r="C36" s="36" t="n"/>
      <c r="F36" t="n">
        <v>1</v>
      </c>
    </row>
    <row r="37">
      <c r="B37" s="49" t="inlineStr">
        <is>
          <t>TOTAL</t>
        </is>
      </c>
      <c r="C37" s="50">
        <f>SUM(C33:C36)</f>
        <v/>
      </c>
    </row>
    <row r="38" ht="48" customHeight="1">
      <c r="B38" s="43" t="inlineStr">
        <is>
          <t>If Other, what does that time consist of?</t>
        </is>
      </c>
      <c r="C38" s="44" t="n"/>
      <c r="D38" s="28" t="n"/>
      <c r="E38" s="28" t="n"/>
      <c r="F38" t="n">
        <v>1</v>
      </c>
    </row>
    <row r="40" ht="24" customHeight="1">
      <c r="A40" s="42" t="inlineStr">
        <is>
          <t>3. WHERE DOES YOUR TIME ACTUALLY GO?</t>
        </is>
      </c>
    </row>
    <row r="41" ht="28" customHeight="1">
      <c r="A41" s="45" t="inlineStr">
        <is>
          <t>You do not need to track every minute. Think about a typical week and make your best estimate. Use this guide if you are unsure how to categorize something.</t>
        </is>
      </c>
    </row>
    <row r="42">
      <c r="B42" s="51" t="inlineStr">
        <is>
          <t>Category</t>
        </is>
      </c>
      <c r="C42" s="51" t="inlineStr">
        <is>
          <t>Examples</t>
        </is>
      </c>
    </row>
    <row r="43" ht="26" customHeight="1">
      <c r="B43" s="3" t="inlineStr">
        <is>
          <t>Prospecting / Business Development</t>
        </is>
      </c>
      <c r="C43" s="52" t="inlineStr">
        <is>
          <t>Cold calling, owner outreach, tenant outreach, email campaigns, canvassing, prospect research</t>
        </is>
      </c>
    </row>
    <row r="44" ht="26" customHeight="1">
      <c r="B44" s="3" t="inlineStr">
        <is>
          <t>Client / Deal Work</t>
        </is>
      </c>
      <c r="C44" s="52" t="inlineStr">
        <is>
          <t>Tours, client meetings, LOIs, contracts, negotiations, due diligence, inspections, closing coordination</t>
        </is>
      </c>
    </row>
    <row r="45" ht="26" customHeight="1">
      <c r="B45" s="3" t="inlineStr">
        <is>
          <t>Market Research</t>
        </is>
      </c>
      <c r="C45" s="52" t="inlineStr">
        <is>
          <t>Crexi, CoStar, GIS, Land id, researching ownership, comps, zoning, demographics</t>
        </is>
      </c>
    </row>
    <row r="46" ht="26" customHeight="1">
      <c r="B46" s="3" t="inlineStr">
        <is>
          <t>Follow-Up / CRM</t>
        </is>
      </c>
      <c r="C46" s="52" t="inlineStr">
        <is>
          <t>Returning calls, email follow-up, CRM updates, maintaining prospect lists</t>
        </is>
      </c>
    </row>
    <row r="47" ht="26" customHeight="1">
      <c r="B47" s="3" t="inlineStr">
        <is>
          <t>Networking / Sphere</t>
        </is>
      </c>
      <c r="C47" s="52" t="inlineStr">
        <is>
          <t>KW agents, attorneys, lenders, CPAs, developers, business owners, networking events</t>
        </is>
      </c>
    </row>
    <row r="48" ht="26" customHeight="1">
      <c r="B48" s="3" t="inlineStr">
        <is>
          <t>Marketing</t>
        </is>
      </c>
      <c r="C48" s="52" t="inlineStr">
        <is>
          <t>Social media, property marketing, flyers, listing materials, content creation</t>
        </is>
      </c>
    </row>
    <row r="49" ht="26" customHeight="1">
      <c r="B49" s="3" t="inlineStr">
        <is>
          <t>Residential</t>
        </is>
      </c>
      <c r="C49" s="52" t="inlineStr">
        <is>
          <t>Residential prospecting, showings, listings, buyers, contracts, closings</t>
        </is>
      </c>
    </row>
    <row r="50" ht="26" customHeight="1">
      <c r="B50" s="3" t="inlineStr">
        <is>
          <t>Administrative</t>
        </is>
      </c>
      <c r="C50" s="52" t="inlineStr">
        <is>
          <t>Paperwork, scheduling, expense tracking, file organization, general admin</t>
        </is>
      </c>
    </row>
    <row r="51" ht="26" customHeight="1">
      <c r="B51" s="3" t="inlineStr">
        <is>
          <t>Training / Development</t>
        </is>
      </c>
      <c r="C51" s="52" t="inlineStr">
        <is>
          <t>Courses, meetings, CRE training, technology training, role-playing</t>
        </is>
      </c>
    </row>
    <row r="52" ht="26" customHeight="1">
      <c r="B52" s="3" t="inlineStr">
        <is>
          <t>Other</t>
        </is>
      </c>
      <c r="C52" s="52" t="inlineStr">
        <is>
          <t>Anything that does not reasonably fit above</t>
        </is>
      </c>
    </row>
    <row r="54">
      <c r="B54" s="46" t="inlineStr">
        <is>
          <t>Activity</t>
        </is>
      </c>
      <c r="C54" s="46" t="inlineStr">
        <is>
          <t>Approx. Hours / Week</t>
        </is>
      </c>
      <c r="D54" s="46" t="inlineStr">
        <is>
          <t>% of Real Estate Time</t>
        </is>
      </c>
    </row>
    <row r="55">
      <c r="B55" s="47" t="inlineStr">
        <is>
          <t>Commercial Prospecting / Business Development</t>
        </is>
      </c>
      <c r="C55" s="36" t="n"/>
      <c r="D55" s="53">
        <f>IFERROR(C55/SUM(C$55:C$64),"")</f>
        <v/>
      </c>
      <c r="F55" t="n">
        <v>1</v>
      </c>
    </row>
    <row r="56">
      <c r="B56" s="47" t="inlineStr">
        <is>
          <t>Commercial Client &amp; Deal Work</t>
        </is>
      </c>
      <c r="C56" s="36" t="n"/>
      <c r="D56" s="53">
        <f>IFERROR(C56/SUM(C$55:C$64),"")</f>
        <v/>
      </c>
      <c r="F56" t="n">
        <v>1</v>
      </c>
    </row>
    <row r="57">
      <c r="B57" s="47" t="inlineStr">
        <is>
          <t>Commercial Market Research</t>
        </is>
      </c>
      <c r="C57" s="36" t="n"/>
      <c r="D57" s="53">
        <f>IFERROR(C57/SUM(C$55:C$64),"")</f>
        <v/>
      </c>
      <c r="F57" t="n">
        <v>1</v>
      </c>
    </row>
    <row r="58">
      <c r="B58" s="47" t="inlineStr">
        <is>
          <t>Follow-Up / CRM</t>
        </is>
      </c>
      <c r="C58" s="36" t="n"/>
      <c r="D58" s="53">
        <f>IFERROR(C58/SUM(C$55:C$64),"")</f>
        <v/>
      </c>
      <c r="F58" t="n">
        <v>1</v>
      </c>
    </row>
    <row r="59">
      <c r="B59" s="47" t="inlineStr">
        <is>
          <t>Networking / Sphere Development</t>
        </is>
      </c>
      <c r="C59" s="36" t="n"/>
      <c r="D59" s="53">
        <f>IFERROR(C59/SUM(C$55:C$64),"")</f>
        <v/>
      </c>
      <c r="F59" t="n">
        <v>1</v>
      </c>
    </row>
    <row r="60">
      <c r="B60" s="47" t="inlineStr">
        <is>
          <t>Marketing / Content</t>
        </is>
      </c>
      <c r="C60" s="36" t="n"/>
      <c r="D60" s="53">
        <f>IFERROR(C60/SUM(C$55:C$64),"")</f>
        <v/>
      </c>
      <c r="F60" t="n">
        <v>1</v>
      </c>
    </row>
    <row r="61">
      <c r="B61" s="47" t="inlineStr">
        <is>
          <t>Residential Business</t>
        </is>
      </c>
      <c r="C61" s="36" t="n"/>
      <c r="D61" s="53">
        <f>IFERROR(C61/SUM(C$55:C$64),"")</f>
        <v/>
      </c>
      <c r="F61" t="n">
        <v>1</v>
      </c>
    </row>
    <row r="62">
      <c r="B62" s="47" t="inlineStr">
        <is>
          <t>Administrative Work</t>
        </is>
      </c>
      <c r="C62" s="36" t="n"/>
      <c r="D62" s="53">
        <f>IFERROR(C62/SUM(C$55:C$64),"")</f>
        <v/>
      </c>
      <c r="F62" t="n">
        <v>1</v>
      </c>
    </row>
    <row r="63">
      <c r="B63" s="47" t="inlineStr">
        <is>
          <t>Training / Professional Development</t>
        </is>
      </c>
      <c r="C63" s="36" t="n"/>
      <c r="D63" s="53">
        <f>IFERROR(C63/SUM(C$55:C$64),"")</f>
        <v/>
      </c>
      <c r="F63" t="n">
        <v>1</v>
      </c>
    </row>
    <row r="64">
      <c r="B64" s="47" t="inlineStr">
        <is>
          <t>Other</t>
        </is>
      </c>
      <c r="C64" s="36" t="n"/>
      <c r="D64" s="53">
        <f>IFERROR(C64/SUM(C$55:C$64),"")</f>
        <v/>
      </c>
      <c r="F64" t="n">
        <v>1</v>
      </c>
    </row>
    <row r="65">
      <c r="B65" s="49" t="inlineStr">
        <is>
          <t>TOTAL</t>
        </is>
      </c>
      <c r="C65" s="50">
        <f>SUM(C55:C64)</f>
        <v/>
      </c>
      <c r="D65" s="54">
        <f>IFERROR(SUM(D55:D64),"")</f>
        <v/>
      </c>
    </row>
    <row r="66" ht="48" customHeight="1">
      <c r="B66" s="43" t="inlineStr">
        <is>
          <t>If you listed time under Other, please explain:</t>
        </is>
      </c>
      <c r="C66" s="44" t="n"/>
      <c r="D66" s="28" t="n"/>
      <c r="E66" s="28" t="n"/>
      <c r="F66" t="n">
        <v>1</v>
      </c>
    </row>
    <row r="67" ht="48" customHeight="1">
      <c r="B67" s="43" t="inlineStr">
        <is>
          <t>Which activities take up the MOST time in your week?</t>
        </is>
      </c>
      <c r="C67" s="44" t="n"/>
      <c r="D67" s="28" t="n"/>
      <c r="E67" s="28" t="n"/>
      <c r="F67" t="n">
        <v>1</v>
      </c>
    </row>
    <row r="68" ht="48" customHeight="1">
      <c r="B68" s="43" t="inlineStr">
        <is>
          <t>Which activities are currently producing the MOST business for you?</t>
        </is>
      </c>
      <c r="C68" s="44" t="n"/>
      <c r="D68" s="28" t="n"/>
      <c r="E68" s="28" t="n"/>
      <c r="F68" t="n">
        <v>1</v>
      </c>
    </row>
    <row r="69" ht="48" customHeight="1">
      <c r="B69" s="43" t="inlineStr">
        <is>
          <t>What do you feel you are spending too much time doing?</t>
        </is>
      </c>
      <c r="C69" s="44" t="n"/>
      <c r="D69" s="28" t="n"/>
      <c r="E69" s="28" t="n"/>
      <c r="F69" t="n">
        <v>1</v>
      </c>
    </row>
    <row r="70" ht="48" customHeight="1">
      <c r="B70" s="43" t="inlineStr">
        <is>
          <t>What do you feel you are not spending enough time doing?</t>
        </is>
      </c>
      <c r="C70" s="44" t="n"/>
      <c r="D70" s="28" t="n"/>
      <c r="E70" s="28" t="n"/>
      <c r="F70" t="n">
        <v>1</v>
      </c>
    </row>
    <row r="72" ht="24" customHeight="1">
      <c r="A72" s="42" t="inlineStr">
        <is>
          <t>4. HOW DO YOU STRUCTURE YOUR DAY?</t>
        </is>
      </c>
    </row>
    <row r="73">
      <c r="B73" s="43" t="inlineStr">
        <is>
          <t>Do you currently plan your workday in advance?</t>
        </is>
      </c>
      <c r="C73" s="44" t="n"/>
      <c r="D73" s="28" t="n"/>
      <c r="E73" s="28" t="n"/>
      <c r="F73" t="n">
        <v>1</v>
      </c>
    </row>
    <row r="74">
      <c r="B74" s="43" t="inlineStr">
        <is>
          <t>Do you currently use time blocks for specific activities?</t>
        </is>
      </c>
      <c r="C74" s="44" t="n"/>
      <c r="D74" s="28" t="n"/>
      <c r="E74" s="28" t="n"/>
      <c r="F74" t="n">
        <v>1</v>
      </c>
    </row>
    <row r="75">
      <c r="B75" s="43" t="inlineStr">
        <is>
          <t>Do you have a dedicated prospecting period during your day?</t>
        </is>
      </c>
      <c r="C75" s="44" t="n"/>
      <c r="D75" s="28" t="n"/>
      <c r="E75" s="28" t="n"/>
      <c r="F75" t="n">
        <v>1</v>
      </c>
    </row>
    <row r="76">
      <c r="B76" s="43" t="inlineStr">
        <is>
          <t>If yes — typical prospecting time (e.g. 9:00–11:00 AM):</t>
        </is>
      </c>
      <c r="C76" s="44" t="n"/>
      <c r="D76" s="28" t="n"/>
      <c r="E76" s="28" t="n"/>
      <c r="F76" t="n">
        <v>1</v>
      </c>
    </row>
    <row r="77">
      <c r="B77" s="43" t="inlineStr">
        <is>
          <t>If yes — typical length:</t>
        </is>
      </c>
      <c r="C77" s="44" t="n"/>
      <c r="D77" s="28" t="n"/>
      <c r="E77" s="28" t="n"/>
      <c r="F77" t="n">
        <v>1</v>
      </c>
    </row>
    <row r="78" ht="48" customHeight="1">
      <c r="B78" s="43" t="inlineStr">
        <is>
          <t>When do you feel you are most productive during the day?</t>
        </is>
      </c>
      <c r="C78" s="44" t="n"/>
      <c r="D78" s="28" t="n"/>
      <c r="E78" s="28" t="n"/>
      <c r="F78" t="n">
        <v>1</v>
      </c>
    </row>
    <row r="79" ht="48" customHeight="1">
      <c r="B79" s="43" t="inlineStr">
        <is>
          <t>What normally causes your schedule to get off track?</t>
        </is>
      </c>
      <c r="C79" s="44" t="n"/>
      <c r="D79" s="28" t="n"/>
      <c r="E79" s="28" t="n"/>
      <c r="F79" t="n">
        <v>1</v>
      </c>
    </row>
    <row r="80" ht="48" customHeight="1">
      <c r="B80" s="43" t="inlineStr">
        <is>
          <t>What is the first business-producing activity you normally do each day?</t>
        </is>
      </c>
      <c r="C80" s="44" t="n"/>
      <c r="D80" s="28" t="n"/>
      <c r="E80" s="28" t="n"/>
      <c r="F80" t="n">
        <v>1</v>
      </c>
    </row>
    <row r="81" ht="48" customHeight="1">
      <c r="B81" s="43" t="inlineStr">
        <is>
          <t>What usually consumes more time than you intended?</t>
        </is>
      </c>
      <c r="C81" s="44" t="n"/>
      <c r="D81" s="28" t="n"/>
      <c r="E81" s="28" t="n"/>
      <c r="F81" t="n">
        <v>1</v>
      </c>
    </row>
    <row r="83" ht="24" customHeight="1">
      <c r="A83" s="42" t="inlineStr">
        <is>
          <t>5. HOW ARE YOU CURRENTLY GENERATING BUSINESS?</t>
        </is>
      </c>
    </row>
    <row r="84" ht="28" customHeight="1">
      <c r="A84" s="45" t="inlineStr">
        <is>
          <t>Activity level: 0 = Not currently using · 1 = Occasionally · 3 = Consistently · 5 = Major part of my business</t>
        </is>
      </c>
    </row>
    <row r="85">
      <c r="B85" s="46" t="inlineStr">
        <is>
          <t>Business Development Source</t>
        </is>
      </c>
      <c r="C85" s="46" t="inlineStr">
        <is>
          <t>Activity Level 0–5</t>
        </is>
      </c>
      <c r="D85" s="46" t="inlineStr">
        <is>
          <t>Generated a Real Opportunity?</t>
        </is>
      </c>
    </row>
    <row r="86">
      <c r="B86" s="47" t="inlineStr">
        <is>
          <t>Cold Calling Property Owners</t>
        </is>
      </c>
      <c r="C86" s="36" t="n"/>
      <c r="D86" s="36" t="n"/>
      <c r="F86" t="n">
        <v>1</v>
      </c>
    </row>
    <row r="87">
      <c r="B87" s="47" t="inlineStr">
        <is>
          <t>Calling Businesses / Tenants</t>
        </is>
      </c>
      <c r="C87" s="36" t="n"/>
      <c r="D87" s="36" t="n"/>
      <c r="F87" t="n">
        <v>1</v>
      </c>
    </row>
    <row r="88">
      <c r="B88" s="47" t="inlineStr">
        <is>
          <t>Sphere of Influence</t>
        </is>
      </c>
      <c r="C88" s="36" t="n"/>
      <c r="D88" s="36" t="n"/>
      <c r="F88" t="n">
        <v>1</v>
      </c>
    </row>
    <row r="89">
      <c r="B89" s="47" t="inlineStr">
        <is>
          <t>Past Clients</t>
        </is>
      </c>
      <c r="C89" s="36" t="n"/>
      <c r="D89" s="36" t="n"/>
      <c r="F89" t="n">
        <v>1</v>
      </c>
    </row>
    <row r="90">
      <c r="B90" s="47" t="inlineStr">
        <is>
          <t>Current Clients</t>
        </is>
      </c>
      <c r="C90" s="36" t="n"/>
      <c r="D90" s="36" t="n"/>
      <c r="F90" t="n">
        <v>1</v>
      </c>
    </row>
    <row r="91">
      <c r="B91" s="47" t="inlineStr">
        <is>
          <t>KW Residential Agent Referrals</t>
        </is>
      </c>
      <c r="C91" s="36" t="n"/>
      <c r="D91" s="36" t="n"/>
      <c r="F91" t="n">
        <v>1</v>
      </c>
    </row>
    <row r="92">
      <c r="B92" s="47" t="inlineStr">
        <is>
          <t>KW Commercial Referrals</t>
        </is>
      </c>
      <c r="C92" s="36" t="n"/>
      <c r="D92" s="36" t="n"/>
      <c r="F92" t="n">
        <v>1</v>
      </c>
    </row>
    <row r="93">
      <c r="B93" s="47" t="inlineStr">
        <is>
          <t>Outside Broker Referrals</t>
        </is>
      </c>
      <c r="C93" s="36" t="n"/>
      <c r="D93" s="36" t="n"/>
      <c r="F93" t="n">
        <v>1</v>
      </c>
    </row>
    <row r="94">
      <c r="B94" s="47" t="inlineStr">
        <is>
          <t>Attorneys</t>
        </is>
      </c>
      <c r="C94" s="36" t="n"/>
      <c r="D94" s="36" t="n"/>
      <c r="F94" t="n">
        <v>1</v>
      </c>
    </row>
    <row r="95">
      <c r="B95" s="47" t="inlineStr">
        <is>
          <t>CPAs / Accountants</t>
        </is>
      </c>
      <c r="C95" s="36" t="n"/>
      <c r="D95" s="36" t="n"/>
      <c r="F95" t="n">
        <v>1</v>
      </c>
    </row>
    <row r="96">
      <c r="B96" s="47" t="inlineStr">
        <is>
          <t>Lenders / Bankers</t>
        </is>
      </c>
      <c r="C96" s="36" t="n"/>
      <c r="D96" s="36" t="n"/>
      <c r="F96" t="n">
        <v>1</v>
      </c>
    </row>
    <row r="97">
      <c r="B97" s="47" t="inlineStr">
        <is>
          <t>Developers / Builders</t>
        </is>
      </c>
      <c r="C97" s="36" t="n"/>
      <c r="D97" s="36" t="n"/>
      <c r="F97" t="n">
        <v>1</v>
      </c>
    </row>
    <row r="98">
      <c r="B98" s="47" t="inlineStr">
        <is>
          <t>Investors</t>
        </is>
      </c>
      <c r="C98" s="36" t="n"/>
      <c r="D98" s="36" t="n"/>
      <c r="F98" t="n">
        <v>1</v>
      </c>
    </row>
    <row r="99">
      <c r="B99" s="47" t="inlineStr">
        <is>
          <t>Business Owners</t>
        </is>
      </c>
      <c r="C99" s="36" t="n"/>
      <c r="D99" s="36" t="n"/>
      <c r="F99" t="n">
        <v>1</v>
      </c>
    </row>
    <row r="100">
      <c r="B100" s="47" t="inlineStr">
        <is>
          <t>Networking Organizations</t>
        </is>
      </c>
      <c r="C100" s="36" t="n"/>
      <c r="D100" s="36" t="n"/>
      <c r="F100" t="n">
        <v>1</v>
      </c>
    </row>
    <row r="101">
      <c r="B101" s="47" t="inlineStr">
        <is>
          <t>Email Campaigns</t>
        </is>
      </c>
      <c r="C101" s="36" t="n"/>
      <c r="D101" s="36" t="n"/>
      <c r="F101" t="n">
        <v>1</v>
      </c>
    </row>
    <row r="102">
      <c r="B102" s="47" t="inlineStr">
        <is>
          <t>Direct Mail</t>
        </is>
      </c>
      <c r="C102" s="36" t="n"/>
      <c r="D102" s="36" t="n"/>
      <c r="F102" t="n">
        <v>1</v>
      </c>
    </row>
    <row r="103">
      <c r="B103" s="47" t="inlineStr">
        <is>
          <t>Social Media / Content</t>
        </is>
      </c>
      <c r="C103" s="36" t="n"/>
      <c r="D103" s="36" t="n"/>
      <c r="F103" t="n">
        <v>1</v>
      </c>
    </row>
    <row r="104">
      <c r="B104" s="47" t="inlineStr">
        <is>
          <t>Crexi / Online Platforms</t>
        </is>
      </c>
      <c r="C104" s="36" t="n"/>
      <c r="D104" s="36" t="n"/>
      <c r="F104" t="n">
        <v>1</v>
      </c>
    </row>
    <row r="105">
      <c r="B105" s="47" t="inlineStr">
        <is>
          <t>Database / CRM Follow-Up</t>
        </is>
      </c>
      <c r="C105" s="36" t="n"/>
      <c r="D105" s="36" t="n"/>
      <c r="F105" t="n">
        <v>1</v>
      </c>
    </row>
    <row r="106">
      <c r="B106" s="47" t="inlineStr">
        <is>
          <t>Property Visits / Canvassing</t>
        </is>
      </c>
      <c r="C106" s="36" t="n"/>
      <c r="D106" s="36" t="n"/>
      <c r="F106" t="n">
        <v>1</v>
      </c>
    </row>
    <row r="107">
      <c r="B107" s="47" t="inlineStr">
        <is>
          <t>Market Center Relationships</t>
        </is>
      </c>
      <c r="C107" s="36" t="n"/>
      <c r="D107" s="36" t="n"/>
      <c r="F107" t="n">
        <v>1</v>
      </c>
    </row>
    <row r="108">
      <c r="B108" s="47" t="inlineStr">
        <is>
          <t>Other</t>
        </is>
      </c>
      <c r="C108" s="36" t="n"/>
      <c r="D108" s="36" t="n"/>
      <c r="F108" t="n">
        <v>1</v>
      </c>
    </row>
    <row r="109" ht="48" customHeight="1">
      <c r="B109" s="43" t="inlineStr">
        <is>
          <t>If Other, please explain:</t>
        </is>
      </c>
      <c r="C109" s="44" t="n"/>
      <c r="D109" s="28" t="n"/>
      <c r="E109" s="28" t="n"/>
      <c r="F109" t="n">
        <v>1</v>
      </c>
    </row>
    <row r="110" ht="48" customHeight="1">
      <c r="B110" s="43" t="inlineStr">
        <is>
          <t>What are currently your TOP THREE sources of business?</t>
        </is>
      </c>
      <c r="C110" s="44" t="n"/>
      <c r="D110" s="28" t="n"/>
      <c r="E110" s="28" t="n"/>
      <c r="F110" t="n">
        <v>1</v>
      </c>
    </row>
    <row r="111" ht="48" customHeight="1">
      <c r="B111" s="43" t="inlineStr">
        <is>
          <t>Which one has produced the most actual opportunities or transactions?</t>
        </is>
      </c>
      <c r="C111" s="44" t="n"/>
      <c r="D111" s="28" t="n"/>
      <c r="E111" s="28" t="n"/>
      <c r="F111" t="n">
        <v>1</v>
      </c>
    </row>
    <row r="112" ht="48" customHeight="1">
      <c r="B112" s="43" t="inlineStr">
        <is>
          <t>Which business-development channel do you believe you should be using more?</t>
        </is>
      </c>
      <c r="C112" s="44" t="n"/>
      <c r="D112" s="28" t="n"/>
      <c r="E112" s="28" t="n"/>
      <c r="F112" t="n">
        <v>1</v>
      </c>
    </row>
    <row r="114" ht="24" customHeight="1">
      <c r="A114" s="42" t="inlineStr">
        <is>
          <t>6. YOUR MARKET CENTER</t>
        </is>
      </c>
    </row>
    <row r="115" ht="48" customHeight="1">
      <c r="B115" s="43" t="inlineStr">
        <is>
          <t>How have you been developing relationships within your Market Center?</t>
        </is>
      </c>
      <c r="C115" s="44" t="n"/>
      <c r="D115" s="28" t="n"/>
      <c r="E115" s="28" t="n"/>
      <c r="F115" t="n">
        <v>1</v>
      </c>
    </row>
    <row r="116">
      <c r="B116" s="43" t="inlineStr">
        <is>
          <t>How many residential agents in your Market Center know that you handle commercial real estate?</t>
        </is>
      </c>
      <c r="C116" s="44" t="n"/>
      <c r="D116" s="28" t="n"/>
      <c r="E116" s="28" t="n"/>
      <c r="F116" t="n">
        <v>1</v>
      </c>
    </row>
    <row r="117">
      <c r="B117" s="48" t="inlineStr">
        <is>
          <t>What have you done to generate commercial referrals from your Market Center?  (select Yes for all that apply)</t>
        </is>
      </c>
    </row>
    <row r="118">
      <c r="B118" s="47" t="inlineStr">
        <is>
          <t xml:space="preserve">      Introduced myself individually to agents</t>
        </is>
      </c>
      <c r="C118" s="36" t="n"/>
    </row>
    <row r="119">
      <c r="B119" s="47" t="inlineStr">
        <is>
          <t xml:space="preserve">      Attended team/office meetings</t>
        </is>
      </c>
      <c r="C119" s="36" t="n"/>
    </row>
    <row r="120">
      <c r="B120" s="47" t="inlineStr">
        <is>
          <t xml:space="preserve">      Given commercial real estate presentations</t>
        </is>
      </c>
      <c r="C120" s="36" t="n"/>
    </row>
    <row r="121">
      <c r="B121" s="47" t="inlineStr">
        <is>
          <t xml:space="preserve">      Shared commercial opportunities/listings</t>
        </is>
      </c>
      <c r="C121" s="36" t="n"/>
    </row>
    <row r="122">
      <c r="B122" s="47" t="inlineStr">
        <is>
          <t xml:space="preserve">      Asked agents directly for referrals</t>
        </is>
      </c>
      <c r="C122" s="36" t="n"/>
    </row>
    <row r="123">
      <c r="B123" s="47" t="inlineStr">
        <is>
          <t xml:space="preserve">      Helped agents with commercial questions</t>
        </is>
      </c>
      <c r="C123" s="36" t="n"/>
    </row>
    <row r="124">
      <c r="B124" s="47" t="inlineStr">
        <is>
          <t xml:space="preserve">      Developed relationships with leadership</t>
        </is>
      </c>
      <c r="C124" s="36" t="n"/>
    </row>
    <row r="125">
      <c r="B125" s="47" t="inlineStr">
        <is>
          <t xml:space="preserve">      Participated in office events</t>
        </is>
      </c>
      <c r="C125" s="36" t="n"/>
    </row>
    <row r="126">
      <c r="B126" s="47" t="inlineStr">
        <is>
          <t xml:space="preserve">      Sent emails/newsletters to agents</t>
        </is>
      </c>
      <c r="C126" s="36" t="n"/>
    </row>
    <row r="127">
      <c r="B127" s="47" t="inlineStr">
        <is>
          <t xml:space="preserve">      Shared CRE educational content</t>
        </is>
      </c>
      <c r="C127" s="36" t="n"/>
    </row>
    <row r="128">
      <c r="B128" s="47" t="inlineStr">
        <is>
          <t xml:space="preserve">      Nothing consistently yet</t>
        </is>
      </c>
      <c r="C128" s="36" t="n"/>
    </row>
    <row r="129">
      <c r="B129" s="47" t="inlineStr">
        <is>
          <t xml:space="preserve">      Other (describe →)</t>
        </is>
      </c>
      <c r="C129" s="36" t="n"/>
      <c r="D129" s="28" t="n"/>
    </row>
    <row r="130">
      <c r="B130" s="43" t="inlineStr">
        <is>
          <t>Meaningful conversations with Market Center agents in a typical month:</t>
        </is>
      </c>
      <c r="C130" s="44" t="n"/>
      <c r="D130" s="28" t="n"/>
      <c r="E130" s="28" t="n"/>
      <c r="F130" t="n">
        <v>1</v>
      </c>
    </row>
    <row r="131">
      <c r="B131" s="43" t="inlineStr">
        <is>
          <t>Commercial referrals received from your Market Center in the past 90 days:</t>
        </is>
      </c>
      <c r="C131" s="44" t="n"/>
      <c r="D131" s="28" t="n"/>
      <c r="E131" s="28" t="n"/>
      <c r="F131" t="n">
        <v>1</v>
      </c>
    </row>
    <row r="132" ht="48" customHeight="1">
      <c r="B132" s="43" t="inlineStr">
        <is>
          <t>What could you do differently over the next 90 days to become the commercial resource within your office?</t>
        </is>
      </c>
      <c r="C132" s="44" t="n"/>
      <c r="D132" s="28" t="n"/>
      <c r="E132" s="28" t="n"/>
      <c r="F132" t="n">
        <v>1</v>
      </c>
    </row>
    <row r="134" ht="24" customHeight="1">
      <c r="A134" s="42" t="inlineStr">
        <is>
          <t>7. YOUR SPHERE OF INFLUENCE</t>
        </is>
      </c>
    </row>
    <row r="135">
      <c r="B135" s="48" t="inlineStr">
        <is>
          <t>Who currently knows that you work in commercial real estate?  (select Yes for all that apply)</t>
        </is>
      </c>
    </row>
    <row r="136">
      <c r="B136" s="47" t="inlineStr">
        <is>
          <t xml:space="preserve">      Friends / Family</t>
        </is>
      </c>
      <c r="C136" s="36" t="n"/>
    </row>
    <row r="137">
      <c r="B137" s="47" t="inlineStr">
        <is>
          <t xml:space="preserve">      Former Clients</t>
        </is>
      </c>
      <c r="C137" s="36" t="n"/>
    </row>
    <row r="138">
      <c r="B138" s="47" t="inlineStr">
        <is>
          <t xml:space="preserve">      Residential Clients</t>
        </is>
      </c>
      <c r="C138" s="36" t="n"/>
    </row>
    <row r="139">
      <c r="B139" s="47" t="inlineStr">
        <is>
          <t xml:space="preserve">      Business Owners</t>
        </is>
      </c>
      <c r="C139" s="36" t="n"/>
    </row>
    <row r="140">
      <c r="B140" s="47" t="inlineStr">
        <is>
          <t xml:space="preserve">      Investors</t>
        </is>
      </c>
      <c r="C140" s="36" t="n"/>
    </row>
    <row r="141">
      <c r="B141" s="47" t="inlineStr">
        <is>
          <t xml:space="preserve">      Attorneys</t>
        </is>
      </c>
      <c r="C141" s="36" t="n"/>
    </row>
    <row r="142">
      <c r="B142" s="47" t="inlineStr">
        <is>
          <t xml:space="preserve">      CPAs</t>
        </is>
      </c>
      <c r="C142" s="36" t="n"/>
    </row>
    <row r="143">
      <c r="B143" s="47" t="inlineStr">
        <is>
          <t xml:space="preserve">      Lenders</t>
        </is>
      </c>
      <c r="C143" s="36" t="n"/>
    </row>
    <row r="144">
      <c r="B144" s="47" t="inlineStr">
        <is>
          <t xml:space="preserve">      Developers</t>
        </is>
      </c>
      <c r="C144" s="36" t="n"/>
    </row>
    <row r="145">
      <c r="B145" s="47" t="inlineStr">
        <is>
          <t xml:space="preserve">      Contractors</t>
        </is>
      </c>
      <c r="C145" s="36" t="n"/>
    </row>
    <row r="146">
      <c r="B146" s="47" t="inlineStr">
        <is>
          <t xml:space="preserve">      Other Brokers</t>
        </is>
      </c>
      <c r="C146" s="36" t="n"/>
    </row>
    <row r="147">
      <c r="B147" s="47" t="inlineStr">
        <is>
          <t xml:space="preserve">      Community Organizations</t>
        </is>
      </c>
      <c r="C147" s="36" t="n"/>
    </row>
    <row r="148">
      <c r="B148" s="47" t="inlineStr">
        <is>
          <t xml:space="preserve">      Other (describe →)</t>
        </is>
      </c>
      <c r="C148" s="36" t="n"/>
      <c r="D148" s="28" t="n"/>
    </row>
    <row r="149">
      <c r="B149" s="43" t="inlineStr">
        <is>
          <t>Approximately how many people are part of your professional sphere today?</t>
        </is>
      </c>
      <c r="C149" s="44" t="n"/>
      <c r="D149" s="28" t="n"/>
      <c r="E149" s="28" t="n"/>
      <c r="F149" t="n">
        <v>1</v>
      </c>
    </row>
    <row r="150">
      <c r="B150" s="43" t="inlineStr">
        <is>
          <t>How often are you intentionally communicating with your sphere?</t>
        </is>
      </c>
      <c r="C150" s="44" t="n"/>
      <c r="D150" s="28" t="n"/>
      <c r="E150" s="28" t="n"/>
      <c r="F150" t="n">
        <v>1</v>
      </c>
    </row>
    <row r="151" ht="48" customHeight="1">
      <c r="B151" s="43" t="inlineStr">
        <is>
          <t>What are you currently doing to grow your sphere?</t>
        </is>
      </c>
      <c r="C151" s="44" t="n"/>
      <c r="D151" s="28" t="n"/>
      <c r="E151" s="28" t="n"/>
      <c r="F151" t="n">
        <v>1</v>
      </c>
    </row>
    <row r="152" ht="48" customHeight="1">
      <c r="B152" s="43" t="inlineStr">
        <is>
          <t>Five people or categories of people you should be building stronger relationships with:</t>
        </is>
      </c>
      <c r="C152" s="44" t="n"/>
      <c r="D152" s="28" t="n"/>
      <c r="E152" s="28" t="n"/>
      <c r="F152" t="n">
        <v>1</v>
      </c>
    </row>
    <row r="154" ht="24" customHeight="1">
      <c r="A154" s="42" t="inlineStr">
        <is>
          <t>8. MARKET &amp; PRODUCT FOCUS</t>
        </is>
      </c>
    </row>
    <row r="155">
      <c r="B155" s="43" t="inlineStr">
        <is>
          <t>Do you currently have a defined commercial real estate focus?</t>
        </is>
      </c>
      <c r="C155" s="44" t="n"/>
      <c r="D155" s="28" t="n"/>
      <c r="E155" s="28" t="n"/>
      <c r="F155" t="n">
        <v>1</v>
      </c>
    </row>
    <row r="156">
      <c r="B156" s="43" t="inlineStr">
        <is>
          <t>Are you focusing on a particular geographic area?</t>
        </is>
      </c>
      <c r="C156" s="44" t="n"/>
      <c r="D156" s="28" t="n"/>
      <c r="E156" s="28" t="n"/>
      <c r="F156" t="n">
        <v>1</v>
      </c>
    </row>
    <row r="157">
      <c r="B157" s="43" t="inlineStr">
        <is>
          <t>Primary Market:</t>
        </is>
      </c>
      <c r="C157" s="44" t="n"/>
      <c r="D157" s="28" t="n"/>
      <c r="E157" s="28" t="n"/>
      <c r="F157" t="n">
        <v>1</v>
      </c>
    </row>
    <row r="158">
      <c r="B158" s="43" t="inlineStr">
        <is>
          <t>Secondary Market:</t>
        </is>
      </c>
      <c r="C158" s="44" t="n"/>
      <c r="D158" s="28" t="n"/>
      <c r="E158" s="28" t="n"/>
      <c r="F158" t="n">
        <v>1</v>
      </c>
    </row>
    <row r="159" ht="48" customHeight="1">
      <c r="B159" s="43" t="inlineStr">
        <is>
          <t>Specific submarkets / corridors / neighborhoods:</t>
        </is>
      </c>
      <c r="C159" s="44" t="n"/>
      <c r="D159" s="28" t="n"/>
      <c r="E159" s="28" t="n"/>
      <c r="F159" t="n">
        <v>1</v>
      </c>
    </row>
    <row r="160">
      <c r="B160" s="48" t="inlineStr">
        <is>
          <t>Which property types are you currently pursuing?  (select Yes for all that apply)</t>
        </is>
      </c>
    </row>
    <row r="161">
      <c r="B161" s="47" t="inlineStr">
        <is>
          <t xml:space="preserve">      Retail</t>
        </is>
      </c>
      <c r="C161" s="36" t="n"/>
    </row>
    <row r="162">
      <c r="B162" s="47" t="inlineStr">
        <is>
          <t xml:space="preserve">      Office</t>
        </is>
      </c>
      <c r="C162" s="36" t="n"/>
    </row>
    <row r="163">
      <c r="B163" s="47" t="inlineStr">
        <is>
          <t xml:space="preserve">      Industrial</t>
        </is>
      </c>
      <c r="C163" s="36" t="n"/>
    </row>
    <row r="164">
      <c r="B164" s="47" t="inlineStr">
        <is>
          <t xml:space="preserve">      Land</t>
        </is>
      </c>
      <c r="C164" s="36" t="n"/>
    </row>
    <row r="165">
      <c r="B165" s="47" t="inlineStr">
        <is>
          <t xml:space="preserve">      Multifamily</t>
        </is>
      </c>
      <c r="C165" s="36" t="n"/>
    </row>
    <row r="166">
      <c r="B166" s="47" t="inlineStr">
        <is>
          <t xml:space="preserve">      Medical / Healthcare</t>
        </is>
      </c>
      <c r="C166" s="36" t="n"/>
    </row>
    <row r="167">
      <c r="B167" s="47" t="inlineStr">
        <is>
          <t xml:space="preserve">      Hospitality</t>
        </is>
      </c>
      <c r="C167" s="36" t="n"/>
    </row>
    <row r="168">
      <c r="B168" s="47" t="inlineStr">
        <is>
          <t xml:space="preserve">      Investment Sales</t>
        </is>
      </c>
      <c r="C168" s="36" t="n"/>
    </row>
    <row r="169">
      <c r="B169" s="47" t="inlineStr">
        <is>
          <t xml:space="preserve">      Development</t>
        </is>
      </c>
      <c r="C169" s="36" t="n"/>
    </row>
    <row r="170">
      <c r="B170" s="47" t="inlineStr">
        <is>
          <t xml:space="preserve">      Business Brokerage</t>
        </is>
      </c>
      <c r="C170" s="36" t="n"/>
    </row>
    <row r="171">
      <c r="B171" s="47" t="inlineStr">
        <is>
          <t xml:space="preserve">      Other (describe →)</t>
        </is>
      </c>
      <c r="C171" s="36" t="n"/>
      <c r="D171" s="28" t="n"/>
    </row>
    <row r="172" ht="48" customHeight="1">
      <c r="B172" s="43" t="inlineStr">
        <is>
          <t>Which ONE or TWO areas would you most like to become known for?</t>
        </is>
      </c>
      <c r="C172" s="44" t="n"/>
      <c r="D172" s="28" t="n"/>
      <c r="E172" s="28" t="n"/>
      <c r="F172" t="n">
        <v>1</v>
      </c>
    </row>
    <row r="173" ht="48" customHeight="1">
      <c r="B173" s="43" t="inlineStr">
        <is>
          <t>If someone asked you today, “What type of commercial real estate do you specialize in?” what would you say?</t>
        </is>
      </c>
      <c r="C173" s="44" t="n"/>
      <c r="D173" s="28" t="n"/>
      <c r="E173" s="28" t="n"/>
      <c r="F173" t="n">
        <v>1</v>
      </c>
    </row>
    <row r="174" ht="48" customHeight="1">
      <c r="B174" s="43" t="inlineStr">
        <is>
          <t>Do you feel confident saying that? Why or why not?</t>
        </is>
      </c>
      <c r="C174" s="44" t="n"/>
      <c r="D174" s="28" t="n"/>
      <c r="E174" s="28" t="n"/>
      <c r="F174" t="n">
        <v>1</v>
      </c>
    </row>
    <row r="176" ht="24" customHeight="1">
      <c r="A176" s="42" t="inlineStr">
        <is>
          <t>9. CURRENT COMMERCIAL PIPELINE</t>
        </is>
      </c>
    </row>
    <row r="177" ht="28" customHeight="1">
      <c r="A177" s="45" t="inlineStr">
        <is>
          <t>Do your best. Exact numbers are not required.</t>
        </is>
      </c>
    </row>
    <row r="178">
      <c r="B178" s="46" t="inlineStr">
        <is>
          <t>Category</t>
        </is>
      </c>
      <c r="C178" s="46" t="inlineStr">
        <is>
          <t>#</t>
        </is>
      </c>
      <c r="D178" s="46" t="inlineStr">
        <is>
          <t>Approx. Transaction Volume</t>
        </is>
      </c>
      <c r="E178" s="46" t="inlineStr">
        <is>
          <t>Potential GCI</t>
        </is>
      </c>
    </row>
    <row r="179">
      <c r="B179" s="47" t="inlineStr">
        <is>
          <t>Active Listings</t>
        </is>
      </c>
      <c r="C179" s="36" t="n"/>
      <c r="D179" s="37" t="n"/>
      <c r="E179" s="37" t="n"/>
      <c r="F179" t="n">
        <v>1</v>
      </c>
    </row>
    <row r="180">
      <c r="B180" s="47" t="inlineStr">
        <is>
          <t>Buyer Assignments</t>
        </is>
      </c>
      <c r="C180" s="36" t="n"/>
      <c r="D180" s="37" t="n"/>
      <c r="E180" s="37" t="n"/>
      <c r="F180" t="n">
        <v>1</v>
      </c>
    </row>
    <row r="181">
      <c r="B181" s="47" t="inlineStr">
        <is>
          <t>Tenant Representation</t>
        </is>
      </c>
      <c r="C181" s="36" t="n"/>
      <c r="D181" s="37" t="n"/>
      <c r="E181" s="37" t="n"/>
      <c r="F181" t="n">
        <v>1</v>
      </c>
    </row>
    <row r="182">
      <c r="B182" s="47" t="inlineStr">
        <is>
          <t>Landlord Representation</t>
        </is>
      </c>
      <c r="C182" s="36" t="n"/>
      <c r="D182" s="37" t="n"/>
      <c r="E182" s="37" t="n"/>
      <c r="F182" t="n">
        <v>1</v>
      </c>
    </row>
    <row r="183">
      <c r="B183" s="47" t="inlineStr">
        <is>
          <t>Active LOIs</t>
        </is>
      </c>
      <c r="C183" s="36" t="n"/>
      <c r="D183" s="37" t="n"/>
      <c r="E183" s="37" t="n"/>
      <c r="F183" t="n">
        <v>1</v>
      </c>
    </row>
    <row r="184">
      <c r="B184" s="47" t="inlineStr">
        <is>
          <t>Under Contract</t>
        </is>
      </c>
      <c r="C184" s="36" t="n"/>
      <c r="D184" s="37" t="n"/>
      <c r="E184" s="37" t="n"/>
      <c r="F184" t="n">
        <v>1</v>
      </c>
    </row>
    <row r="185">
      <c r="B185" s="47" t="inlineStr">
        <is>
          <t>Qualified Prospects</t>
        </is>
      </c>
      <c r="C185" s="36" t="n"/>
      <c r="D185" s="37" t="n"/>
      <c r="E185" s="37" t="n"/>
      <c r="F185" t="n">
        <v>1</v>
      </c>
    </row>
    <row r="186">
      <c r="B186" s="47" t="inlineStr">
        <is>
          <t>Early-Stage Opportunities</t>
        </is>
      </c>
      <c r="C186" s="36" t="n"/>
      <c r="D186" s="37" t="n"/>
      <c r="E186" s="37" t="n"/>
      <c r="F186" t="n">
        <v>1</v>
      </c>
    </row>
    <row r="187">
      <c r="B187" s="49" t="inlineStr">
        <is>
          <t>TOTAL</t>
        </is>
      </c>
      <c r="C187" s="50">
        <f>SUM(C179:C186)</f>
        <v/>
      </c>
      <c r="D187" s="55">
        <f>SUM(D179:D186)</f>
        <v/>
      </c>
      <c r="E187" s="55">
        <f>SUM(E179:E186)</f>
        <v/>
      </c>
    </row>
    <row r="188">
      <c r="B188" s="43" t="inlineStr">
        <is>
          <t>New commercial opportunities created in the last 30 days:</t>
        </is>
      </c>
      <c r="C188" s="44" t="n"/>
      <c r="D188" s="28" t="n"/>
      <c r="E188" s="28" t="n"/>
      <c r="F188" t="n">
        <v>1</v>
      </c>
    </row>
    <row r="189">
      <c r="B189" s="43" t="inlineStr">
        <is>
          <t>Prospect/client meetings in the last 30 days:</t>
        </is>
      </c>
      <c r="C189" s="44" t="n"/>
      <c r="D189" s="28" t="n"/>
      <c r="E189" s="28" t="n"/>
      <c r="F189" t="n">
        <v>1</v>
      </c>
    </row>
    <row r="190">
      <c r="B190" s="43" t="inlineStr">
        <is>
          <t>New people added to your commercial database in the last 30 days:</t>
        </is>
      </c>
      <c r="C190" s="44" t="n"/>
      <c r="D190" s="28" t="n"/>
      <c r="E190" s="28" t="n"/>
      <c r="F190" t="n">
        <v>1</v>
      </c>
    </row>
    <row r="191">
      <c r="B191" s="43" t="inlineStr">
        <is>
          <t>How many follow-ups are currently outstanding? (number or “Unsure”)</t>
        </is>
      </c>
      <c r="C191" s="44" t="n"/>
      <c r="D191" s="28" t="n"/>
      <c r="E191" s="28" t="n"/>
      <c r="F191" t="n">
        <v>1</v>
      </c>
    </row>
    <row r="192">
      <c r="B192" s="43" t="inlineStr">
        <is>
          <t>Do you currently know what your commercial pipeline is worth in potential GCI?</t>
        </is>
      </c>
      <c r="C192" s="44" t="n"/>
      <c r="D192" s="28" t="n"/>
      <c r="E192" s="28" t="n"/>
      <c r="F192" t="n">
        <v>1</v>
      </c>
    </row>
    <row r="194" ht="24" customHeight="1">
      <c r="A194" s="42" t="inlineStr">
        <is>
          <t>10. SKILLS &amp; CONFIDENCE ASSESSMENT</t>
        </is>
      </c>
    </row>
    <row r="195" ht="28" customHeight="1">
      <c r="A195" s="45" t="inlineStr">
        <is>
          <t>Rate yourself honestly.  1 = Need substantial help · 3 = Comfortable · 5 = Strong enough to teach someone else</t>
        </is>
      </c>
    </row>
    <row r="196">
      <c r="B196" s="46" t="inlineStr">
        <is>
          <t>Area</t>
        </is>
      </c>
      <c r="C196" s="46" t="inlineStr">
        <is>
          <t>Score 1–5</t>
        </is>
      </c>
    </row>
    <row r="197">
      <c r="B197" s="47" t="inlineStr">
        <is>
          <t>Cold Calling</t>
        </is>
      </c>
      <c r="C197" s="36" t="n"/>
      <c r="F197" t="n">
        <v>1</v>
      </c>
    </row>
    <row r="198">
      <c r="B198" s="47" t="inlineStr">
        <is>
          <t>Prospecting</t>
        </is>
      </c>
      <c r="C198" s="36" t="n"/>
      <c r="F198" t="n">
        <v>1</v>
      </c>
    </row>
    <row r="199">
      <c r="B199" s="47" t="inlineStr">
        <is>
          <t>Building Prospect Lists</t>
        </is>
      </c>
      <c r="C199" s="36" t="n"/>
      <c r="F199" t="n">
        <v>1</v>
      </c>
    </row>
    <row r="200">
      <c r="B200" s="47" t="inlineStr">
        <is>
          <t>Getting Decision Makers on the Phone</t>
        </is>
      </c>
      <c r="C200" s="36" t="n"/>
      <c r="F200" t="n">
        <v>1</v>
      </c>
    </row>
    <row r="201">
      <c r="B201" s="47" t="inlineStr">
        <is>
          <t>Converting Conversations into Meetings</t>
        </is>
      </c>
      <c r="C201" s="36" t="n"/>
      <c r="F201" t="n">
        <v>1</v>
      </c>
    </row>
    <row r="202">
      <c r="B202" s="47" t="inlineStr">
        <is>
          <t>Discovery Meetings</t>
        </is>
      </c>
      <c r="C202" s="36" t="n"/>
      <c r="F202" t="n">
        <v>1</v>
      </c>
    </row>
    <row r="203">
      <c r="B203" s="47" t="inlineStr">
        <is>
          <t>Listing Presentations</t>
        </is>
      </c>
      <c r="C203" s="36" t="n"/>
      <c r="F203" t="n">
        <v>1</v>
      </c>
    </row>
    <row r="204">
      <c r="B204" s="47" t="inlineStr">
        <is>
          <t>Buyer / Tenant Presentations</t>
        </is>
      </c>
      <c r="C204" s="36" t="n"/>
      <c r="F204" t="n">
        <v>1</v>
      </c>
    </row>
    <row r="205">
      <c r="B205" s="47" t="inlineStr">
        <is>
          <t>Market Research</t>
        </is>
      </c>
      <c r="C205" s="36" t="n"/>
      <c r="F205" t="n">
        <v>1</v>
      </c>
    </row>
    <row r="206">
      <c r="B206" s="47" t="inlineStr">
        <is>
          <t>Land id</t>
        </is>
      </c>
      <c r="C206" s="36" t="n"/>
      <c r="F206" t="n">
        <v>1</v>
      </c>
    </row>
    <row r="207">
      <c r="B207" s="47" t="inlineStr">
        <is>
          <t>Crexi</t>
        </is>
      </c>
      <c r="C207" s="36" t="n"/>
      <c r="F207" t="n">
        <v>1</v>
      </c>
    </row>
    <row r="208">
      <c r="B208" s="47" t="inlineStr">
        <is>
          <t>GIS</t>
        </is>
      </c>
      <c r="C208" s="36" t="n"/>
      <c r="F208" t="n">
        <v>1</v>
      </c>
    </row>
    <row r="209">
      <c r="B209" s="47" t="inlineStr">
        <is>
          <t>CRM / Database Management</t>
        </is>
      </c>
      <c r="C209" s="36" t="n"/>
      <c r="F209" t="n">
        <v>1</v>
      </c>
    </row>
    <row r="210">
      <c r="B210" s="47" t="inlineStr">
        <is>
          <t>Financial Underwriting</t>
        </is>
      </c>
      <c r="C210" s="36" t="n"/>
      <c r="F210" t="n">
        <v>1</v>
      </c>
    </row>
    <row r="211">
      <c r="B211" s="47" t="inlineStr">
        <is>
          <t>NOI / Cap Rate / Valuation</t>
        </is>
      </c>
      <c r="C211" s="36" t="n"/>
      <c r="F211" t="n">
        <v>1</v>
      </c>
    </row>
    <row r="212">
      <c r="B212" s="47" t="inlineStr">
        <is>
          <t>BOV Preparation</t>
        </is>
      </c>
      <c r="C212" s="36" t="n"/>
      <c r="F212" t="n">
        <v>1</v>
      </c>
    </row>
    <row r="213">
      <c r="B213" s="47" t="inlineStr">
        <is>
          <t>LOIs</t>
        </is>
      </c>
      <c r="C213" s="36" t="n"/>
      <c r="F213" t="n">
        <v>1</v>
      </c>
    </row>
    <row r="214">
      <c r="B214" s="47" t="inlineStr">
        <is>
          <t>Purchase Agreements</t>
        </is>
      </c>
      <c r="C214" s="36" t="n"/>
      <c r="F214" t="n">
        <v>1</v>
      </c>
    </row>
    <row r="215">
      <c r="B215" s="47" t="inlineStr">
        <is>
          <t>Commercial Leases</t>
        </is>
      </c>
      <c r="C215" s="36" t="n"/>
      <c r="F215" t="n">
        <v>1</v>
      </c>
    </row>
    <row r="216">
      <c r="B216" s="47" t="inlineStr">
        <is>
          <t>Due Diligence</t>
        </is>
      </c>
      <c r="C216" s="36" t="n"/>
      <c r="F216" t="n">
        <v>1</v>
      </c>
    </row>
    <row r="217">
      <c r="B217" s="47" t="inlineStr">
        <is>
          <t>Negotiation</t>
        </is>
      </c>
      <c r="C217" s="36" t="n"/>
      <c r="F217" t="n">
        <v>1</v>
      </c>
    </row>
    <row r="218">
      <c r="B218" s="47" t="inlineStr">
        <is>
          <t>Deal Management</t>
        </is>
      </c>
      <c r="C218" s="36" t="n"/>
      <c r="F218" t="n">
        <v>1</v>
      </c>
    </row>
    <row r="219">
      <c r="B219" s="47" t="inlineStr">
        <is>
          <t>Client Follow-Up</t>
        </is>
      </c>
      <c r="C219" s="36" t="n"/>
      <c r="F219" t="n">
        <v>1</v>
      </c>
    </row>
    <row r="220">
      <c r="B220" s="47" t="inlineStr">
        <is>
          <t>Networking</t>
        </is>
      </c>
      <c r="C220" s="36" t="n"/>
      <c r="F220" t="n">
        <v>1</v>
      </c>
    </row>
    <row r="221">
      <c r="B221" s="47" t="inlineStr">
        <is>
          <t>Referral Development</t>
        </is>
      </c>
      <c r="C221" s="36" t="n"/>
      <c r="F221" t="n">
        <v>1</v>
      </c>
    </row>
    <row r="222">
      <c r="B222" s="47" t="inlineStr">
        <is>
          <t>AI / ChatGPT</t>
        </is>
      </c>
      <c r="C222" s="36" t="n"/>
      <c r="F222" t="n">
        <v>1</v>
      </c>
    </row>
    <row r="223">
      <c r="B223" s="47" t="inlineStr">
        <is>
          <t>Personal Organization</t>
        </is>
      </c>
      <c r="C223" s="36" t="n"/>
      <c r="F223" t="n">
        <v>1</v>
      </c>
    </row>
    <row r="224">
      <c r="B224" s="47" t="inlineStr">
        <is>
          <t>Time Management</t>
        </is>
      </c>
      <c r="C224" s="36" t="n"/>
      <c r="F224" t="n">
        <v>1</v>
      </c>
    </row>
    <row r="225" ht="48" customHeight="1">
      <c r="B225" s="43" t="inlineStr">
        <is>
          <t>Three areas where you feel strongest:</t>
        </is>
      </c>
      <c r="C225" s="44" t="n"/>
      <c r="D225" s="28" t="n"/>
      <c r="E225" s="28" t="n"/>
      <c r="F225" t="n">
        <v>1</v>
      </c>
    </row>
    <row r="226" ht="48" customHeight="1">
      <c r="B226" s="43" t="inlineStr">
        <is>
          <t>Three areas where you most want help:</t>
        </is>
      </c>
      <c r="C226" s="44" t="n"/>
      <c r="D226" s="28" t="n"/>
      <c r="E226" s="28" t="n"/>
      <c r="F226" t="n">
        <v>1</v>
      </c>
    </row>
    <row r="228" ht="24" customHeight="1">
      <c r="A228" s="42" t="inlineStr">
        <is>
          <t>11. PAIN POINTS &amp; AREAS FOR IMPROVEMENT</t>
        </is>
      </c>
    </row>
    <row r="229">
      <c r="B229" s="48" t="inlineStr">
        <is>
          <t>What do you believe is currently preventing you from growing faster?  (select Yes for all that apply)</t>
        </is>
      </c>
    </row>
    <row r="230">
      <c r="B230" s="47" t="inlineStr">
        <is>
          <t xml:space="preserve">      Not enough prospecting</t>
        </is>
      </c>
      <c r="C230" s="36" t="n"/>
    </row>
    <row r="231">
      <c r="B231" s="47" t="inlineStr">
        <is>
          <t xml:space="preserve">      Difficulty finding prospects</t>
        </is>
      </c>
      <c r="C231" s="36" t="n"/>
    </row>
    <row r="232">
      <c r="B232" s="47" t="inlineStr">
        <is>
          <t xml:space="preserve">      Difficulty making calls</t>
        </is>
      </c>
      <c r="C232" s="36" t="n"/>
    </row>
    <row r="233">
      <c r="B233" s="47" t="inlineStr">
        <is>
          <t xml:space="preserve">      Difficulty converting calls</t>
        </is>
      </c>
      <c r="C233" s="36" t="n"/>
    </row>
    <row r="234">
      <c r="B234" s="47" t="inlineStr">
        <is>
          <t xml:space="preserve">      Follow-up</t>
        </is>
      </c>
      <c r="C234" s="36" t="n"/>
    </row>
    <row r="235">
      <c r="B235" s="47" t="inlineStr">
        <is>
          <t xml:space="preserve">      Time management</t>
        </is>
      </c>
      <c r="C235" s="36" t="n"/>
    </row>
    <row r="236">
      <c r="B236" s="47" t="inlineStr">
        <is>
          <t xml:space="preserve">      Daily structure</t>
        </is>
      </c>
      <c r="C236" s="36" t="n"/>
    </row>
    <row r="237">
      <c r="B237" s="47" t="inlineStr">
        <is>
          <t xml:space="preserve">      Residential business consuming time</t>
        </is>
      </c>
      <c r="C237" s="36" t="n"/>
    </row>
    <row r="238">
      <c r="B238" s="47" t="inlineStr">
        <is>
          <t xml:space="preserve">      Lack of experience</t>
        </is>
      </c>
      <c r="C238" s="36" t="n"/>
    </row>
    <row r="239">
      <c r="B239" s="47" t="inlineStr">
        <is>
          <t xml:space="preserve">      Lack of confidence</t>
        </is>
      </c>
      <c r="C239" s="36" t="n"/>
    </row>
    <row r="240">
      <c r="B240" s="47" t="inlineStr">
        <is>
          <t xml:space="preserve">      Market knowledge</t>
        </is>
      </c>
      <c r="C240" s="36" t="n"/>
    </row>
    <row r="241">
      <c r="B241" s="47" t="inlineStr">
        <is>
          <t xml:space="preserve">      Product knowledge</t>
        </is>
      </c>
      <c r="C241" s="36" t="n"/>
    </row>
    <row r="242">
      <c r="B242" s="47" t="inlineStr">
        <is>
          <t xml:space="preserve">      Financial analysis</t>
        </is>
      </c>
      <c r="C242" s="36" t="n"/>
    </row>
    <row r="243">
      <c r="B243" s="47" t="inlineStr">
        <is>
          <t xml:space="preserve">      Contracts / LOIs</t>
        </is>
      </c>
      <c r="C243" s="36" t="n"/>
    </row>
    <row r="244">
      <c r="B244" s="47" t="inlineStr">
        <is>
          <t xml:space="preserve">      Negotiation</t>
        </is>
      </c>
      <c r="C244" s="36" t="n"/>
    </row>
    <row r="245">
      <c r="B245" s="47" t="inlineStr">
        <is>
          <t xml:space="preserve">      Technology</t>
        </is>
      </c>
      <c r="C245" s="36" t="n"/>
    </row>
    <row r="246">
      <c r="B246" s="47" t="inlineStr">
        <is>
          <t xml:space="preserve">      Marketing</t>
        </is>
      </c>
      <c r="C246" s="36" t="n"/>
    </row>
    <row r="247">
      <c r="B247" s="47" t="inlineStr">
        <is>
          <t xml:space="preserve">      Building a sphere</t>
        </is>
      </c>
      <c r="C247" s="36" t="n"/>
    </row>
    <row r="248">
      <c r="B248" s="47" t="inlineStr">
        <is>
          <t xml:space="preserve">      Market Center relationships</t>
        </is>
      </c>
      <c r="C248" s="36" t="n"/>
    </row>
    <row r="249">
      <c r="B249" s="47" t="inlineStr">
        <is>
          <t xml:space="preserve">      Lack of specialization</t>
        </is>
      </c>
      <c r="C249" s="36" t="n"/>
    </row>
    <row r="250">
      <c r="B250" s="47" t="inlineStr">
        <is>
          <t xml:space="preserve">      Organization / CRM</t>
        </is>
      </c>
      <c r="C250" s="36" t="n"/>
    </row>
    <row r="251">
      <c r="B251" s="47" t="inlineStr">
        <is>
          <t xml:space="preserve">      Accountability</t>
        </is>
      </c>
      <c r="C251" s="36" t="n"/>
    </row>
    <row r="252">
      <c r="B252" s="47" t="inlineStr">
        <is>
          <t xml:space="preserve">      Other (describe →)</t>
        </is>
      </c>
      <c r="C252" s="36" t="n"/>
      <c r="D252" s="28" t="n"/>
    </row>
    <row r="253" ht="48" customHeight="1">
      <c r="B253" s="43" t="inlineStr">
        <is>
          <t>What is your single biggest pain point right now?</t>
        </is>
      </c>
      <c r="C253" s="44" t="n"/>
      <c r="D253" s="28" t="n"/>
      <c r="E253" s="28" t="n"/>
      <c r="F253" t="n">
        <v>1</v>
      </c>
    </row>
    <row r="254" ht="48" customHeight="1">
      <c r="B254" s="43" t="inlineStr">
        <is>
          <t>What is one recurring problem in your business that you would like help solving?</t>
        </is>
      </c>
      <c r="C254" s="44" t="n"/>
      <c r="D254" s="28" t="n"/>
      <c r="E254" s="28" t="n"/>
      <c r="F254" t="n">
        <v>1</v>
      </c>
    </row>
    <row r="255" ht="48" customHeight="1">
      <c r="B255" s="43" t="inlineStr">
        <is>
          <t>What is something you know you should be doing but have not consistently done?</t>
        </is>
      </c>
      <c r="C255" s="44" t="n"/>
      <c r="D255" s="28" t="n"/>
      <c r="E255" s="28" t="n"/>
      <c r="F255" t="n">
        <v>1</v>
      </c>
    </row>
    <row r="257" ht="24" customHeight="1">
      <c r="A257" s="42" t="inlineStr">
        <is>
          <t>12. PRAEDIUM SUPPORT &amp; DEVELOPMENT</t>
        </is>
      </c>
    </row>
    <row r="258">
      <c r="B258" s="46" t="inlineStr">
        <is>
          <t>Area</t>
        </is>
      </c>
      <c r="C258" s="46" t="inlineStr">
        <is>
          <t>Need More Support?</t>
        </is>
      </c>
    </row>
    <row r="259">
      <c r="B259" s="47" t="inlineStr">
        <is>
          <t>Prospecting</t>
        </is>
      </c>
      <c r="C259" s="36" t="n"/>
      <c r="F259" t="n">
        <v>1</v>
      </c>
    </row>
    <row r="260">
      <c r="B260" s="47" t="inlineStr">
        <is>
          <t>Prospect Lists</t>
        </is>
      </c>
      <c r="C260" s="36" t="n"/>
      <c r="F260" t="n">
        <v>1</v>
      </c>
    </row>
    <row r="261">
      <c r="B261" s="47" t="inlineStr">
        <is>
          <t>Market Research</t>
        </is>
      </c>
      <c r="C261" s="36" t="n"/>
      <c r="F261" t="n">
        <v>1</v>
      </c>
    </row>
    <row r="262">
      <c r="B262" s="47" t="inlineStr">
        <is>
          <t>Deal Strategy</t>
        </is>
      </c>
      <c r="C262" s="36" t="n"/>
      <c r="F262" t="n">
        <v>1</v>
      </c>
    </row>
    <row r="263">
      <c r="B263" s="47" t="inlineStr">
        <is>
          <t>Underwriting</t>
        </is>
      </c>
      <c r="C263" s="36" t="n"/>
      <c r="F263" t="n">
        <v>1</v>
      </c>
    </row>
    <row r="264">
      <c r="B264" s="47" t="inlineStr">
        <is>
          <t>Contracts / LOIs</t>
        </is>
      </c>
      <c r="C264" s="36" t="n"/>
      <c r="F264" t="n">
        <v>1</v>
      </c>
    </row>
    <row r="265">
      <c r="B265" s="47" t="inlineStr">
        <is>
          <t>Negotiation</t>
        </is>
      </c>
      <c r="C265" s="36" t="n"/>
      <c r="F265" t="n">
        <v>1</v>
      </c>
    </row>
    <row r="266">
      <c r="B266" s="47" t="inlineStr">
        <is>
          <t>Listing Presentations</t>
        </is>
      </c>
      <c r="C266" s="36" t="n"/>
      <c r="F266" t="n">
        <v>1</v>
      </c>
    </row>
    <row r="267">
      <c r="B267" s="47" t="inlineStr">
        <is>
          <t>Marketing</t>
        </is>
      </c>
      <c r="C267" s="36" t="n"/>
      <c r="F267" t="n">
        <v>1</v>
      </c>
    </row>
    <row r="268">
      <c r="B268" s="47" t="inlineStr">
        <is>
          <t>Technology</t>
        </is>
      </c>
      <c r="C268" s="36" t="n"/>
      <c r="F268" t="n">
        <v>1</v>
      </c>
    </row>
    <row r="269">
      <c r="B269" s="47" t="inlineStr">
        <is>
          <t>CRM</t>
        </is>
      </c>
      <c r="C269" s="36" t="n"/>
      <c r="F269" t="n">
        <v>1</v>
      </c>
    </row>
    <row r="270">
      <c r="B270" s="47" t="inlineStr">
        <is>
          <t>Administrative Support</t>
        </is>
      </c>
      <c r="C270" s="36" t="n"/>
      <c r="F270" t="n">
        <v>1</v>
      </c>
    </row>
    <row r="271">
      <c r="B271" s="47" t="inlineStr">
        <is>
          <t>Joint Meetings / Calls</t>
        </is>
      </c>
      <c r="C271" s="36" t="n"/>
      <c r="F271" t="n">
        <v>1</v>
      </c>
    </row>
    <row r="272">
      <c r="B272" s="47" t="inlineStr">
        <is>
          <t>Mentoring</t>
        </is>
      </c>
      <c r="C272" s="36" t="n"/>
      <c r="F272" t="n">
        <v>1</v>
      </c>
    </row>
    <row r="273">
      <c r="B273" s="47" t="inlineStr">
        <is>
          <t>Accountability</t>
        </is>
      </c>
      <c r="C273" s="36" t="n"/>
      <c r="F273" t="n">
        <v>1</v>
      </c>
    </row>
    <row r="274">
      <c r="B274" s="47" t="inlineStr">
        <is>
          <t>Referrals</t>
        </is>
      </c>
      <c r="C274" s="36" t="n"/>
      <c r="F274" t="n">
        <v>1</v>
      </c>
    </row>
    <row r="275">
      <c r="B275" s="47" t="inlineStr">
        <is>
          <t>Market Center Development</t>
        </is>
      </c>
      <c r="C275" s="36" t="n"/>
      <c r="F275" t="n">
        <v>1</v>
      </c>
    </row>
    <row r="276">
      <c r="B276" s="47" t="inlineStr">
        <is>
          <t>Specialized CRE Training</t>
        </is>
      </c>
      <c r="C276" s="36" t="n"/>
      <c r="F276" t="n">
        <v>1</v>
      </c>
    </row>
    <row r="277" ht="48" customHeight="1">
      <c r="B277" s="43" t="inlineStr">
        <is>
          <t>What could Praedium do that would make the biggest difference in your business?</t>
        </is>
      </c>
      <c r="C277" s="44" t="n"/>
      <c r="D277" s="28" t="n"/>
      <c r="E277" s="28" t="n"/>
      <c r="F277" t="n">
        <v>1</v>
      </c>
    </row>
    <row r="278" ht="48" customHeight="1">
      <c r="B278" s="43" t="inlineStr">
        <is>
          <t>What do you need more of from me personally?</t>
        </is>
      </c>
      <c r="C278" s="44" t="n"/>
      <c r="D278" s="28" t="n"/>
      <c r="E278" s="28" t="n"/>
      <c r="F278" t="n">
        <v>1</v>
      </c>
    </row>
    <row r="279" ht="48" customHeight="1">
      <c r="B279" s="43" t="inlineStr">
        <is>
          <t>What should we be doing as a team that we are currently not doing?</t>
        </is>
      </c>
      <c r="C279" s="44" t="n"/>
      <c r="D279" s="28" t="n"/>
      <c r="E279" s="28" t="n"/>
      <c r="F279" t="n">
        <v>1</v>
      </c>
    </row>
    <row r="280" ht="48" customHeight="1">
      <c r="B280" s="43" t="inlineStr">
        <is>
          <t>What would you most like to learn during our biweekly meetings?</t>
        </is>
      </c>
      <c r="C280" s="44" t="n"/>
      <c r="D280" s="28" t="n"/>
      <c r="E280" s="28" t="n"/>
      <c r="F280" t="n">
        <v>1</v>
      </c>
    </row>
    <row r="282" ht="24" customHeight="1">
      <c r="A282" s="42" t="inlineStr">
        <is>
          <t>13. Q4 GOALS  (Oct 1 – Dec 31)</t>
        </is>
      </c>
    </row>
    <row r="283" ht="28" customHeight="1">
      <c r="A283" s="45" t="inlineStr">
        <is>
          <t>These goals feed your Weekly Scorecard — progress is tracked against them automatically.</t>
        </is>
      </c>
    </row>
    <row r="284">
      <c r="B284" s="43" t="inlineStr">
        <is>
          <t>Commercial Transaction Volume Goal ($)</t>
        </is>
      </c>
      <c r="C284" s="56" t="n"/>
      <c r="D284" s="28" t="n"/>
      <c r="E284" s="28" t="n"/>
      <c r="F284" t="n">
        <v>1</v>
      </c>
    </row>
    <row r="285">
      <c r="B285" s="43" t="inlineStr">
        <is>
          <t>Commercial GCI Goal ($)</t>
        </is>
      </c>
      <c r="C285" s="56" t="n"/>
      <c r="D285" s="28" t="n"/>
      <c r="E285" s="28" t="n"/>
      <c r="F285" t="n">
        <v>1</v>
      </c>
    </row>
    <row r="286">
      <c r="B286" s="43" t="inlineStr">
        <is>
          <t>Number of Closings</t>
        </is>
      </c>
      <c r="C286" s="44" t="n"/>
      <c r="D286" s="28" t="n"/>
      <c r="E286" s="28" t="n"/>
      <c r="F286" t="n">
        <v>1</v>
      </c>
    </row>
    <row r="287">
      <c r="B287" s="43" t="inlineStr">
        <is>
          <t>New Listings</t>
        </is>
      </c>
      <c r="C287" s="44" t="n"/>
      <c r="D287" s="28" t="n"/>
      <c r="E287" s="28" t="n"/>
      <c r="F287" t="n">
        <v>1</v>
      </c>
    </row>
    <row r="288">
      <c r="B288" s="43" t="inlineStr">
        <is>
          <t>New Buyer / Tenant Assignments</t>
        </is>
      </c>
      <c r="C288" s="44" t="n"/>
      <c r="D288" s="28" t="n"/>
      <c r="E288" s="28" t="n"/>
      <c r="F288" t="n">
        <v>1</v>
      </c>
    </row>
    <row r="289">
      <c r="B289" s="43" t="inlineStr">
        <is>
          <t>Qualified Opportunities Created</t>
        </is>
      </c>
      <c r="C289" s="44" t="n"/>
      <c r="D289" s="28" t="n"/>
      <c r="E289" s="28" t="n"/>
      <c r="F289" t="n">
        <v>1</v>
      </c>
    </row>
    <row r="290">
      <c r="B290" s="43" t="inlineStr">
        <is>
          <t>Meetings Per Month</t>
        </is>
      </c>
      <c r="C290" s="44" t="n"/>
      <c r="D290" s="28" t="n"/>
      <c r="E290" s="28" t="n"/>
      <c r="F290" t="n">
        <v>1</v>
      </c>
    </row>
    <row r="291" ht="48" customHeight="1">
      <c r="B291" s="43" t="inlineStr">
        <is>
          <t>The three most important things you want to accomplish before December 31:</t>
        </is>
      </c>
      <c r="C291" s="44" t="n"/>
      <c r="D291" s="28" t="n"/>
      <c r="E291" s="28" t="n"/>
      <c r="F291" t="n">
        <v>1</v>
      </c>
    </row>
    <row r="293" ht="24" customHeight="1">
      <c r="A293" s="42" t="inlineStr">
        <is>
          <t>14. 2027 GOALS</t>
        </is>
      </c>
    </row>
    <row r="294">
      <c r="B294" s="43" t="inlineStr">
        <is>
          <t>2027 Commercial Volume Goal ($)</t>
        </is>
      </c>
      <c r="C294" s="56" t="n"/>
      <c r="D294" s="28" t="n"/>
      <c r="E294" s="28" t="n"/>
      <c r="F294" t="n">
        <v>1</v>
      </c>
    </row>
    <row r="295">
      <c r="B295" s="43" t="inlineStr">
        <is>
          <t>2027 Commercial GCI Goal ($)</t>
        </is>
      </c>
      <c r="C295" s="56" t="n"/>
      <c r="D295" s="28" t="n"/>
      <c r="E295" s="28" t="n"/>
      <c r="F295" t="n">
        <v>1</v>
      </c>
    </row>
    <row r="296">
      <c r="B296" s="43" t="inlineStr">
        <is>
          <t>Transactions Closed</t>
        </is>
      </c>
      <c r="C296" s="44" t="n"/>
      <c r="D296" s="28" t="n"/>
      <c r="E296" s="28" t="n"/>
      <c r="F296" t="n">
        <v>1</v>
      </c>
    </row>
    <row r="297">
      <c r="B297" s="43" t="inlineStr">
        <is>
          <t>Listings Obtained</t>
        </is>
      </c>
      <c r="C297" s="44" t="n"/>
      <c r="D297" s="28" t="n"/>
      <c r="E297" s="28" t="n"/>
      <c r="F297" t="n">
        <v>1</v>
      </c>
    </row>
    <row r="298">
      <c r="B298" s="43" t="inlineStr">
        <is>
          <t>Primary Geography</t>
        </is>
      </c>
      <c r="C298" s="44" t="n"/>
      <c r="D298" s="28" t="n"/>
      <c r="E298" s="28" t="n"/>
      <c r="F298" t="n">
        <v>1</v>
      </c>
    </row>
    <row r="299">
      <c r="B299" s="43" t="inlineStr">
        <is>
          <t>Primary Product Type</t>
        </is>
      </c>
      <c r="C299" s="44" t="n"/>
      <c r="D299" s="28" t="n"/>
      <c r="E299" s="28" t="n"/>
      <c r="F299" t="n">
        <v>1</v>
      </c>
    </row>
    <row r="300">
      <c r="B300" s="43" t="inlineStr">
        <is>
          <t>What % of your business would you LIKE to be commercial by the end of 2027?</t>
        </is>
      </c>
      <c r="C300" s="57" t="n"/>
      <c r="D300" s="28" t="n"/>
      <c r="E300" s="28" t="n"/>
      <c r="F300" t="n">
        <v>1</v>
      </c>
    </row>
    <row r="301" ht="48" customHeight="1">
      <c r="B301" s="43" t="inlineStr">
        <is>
          <t>What would a successful 2027 look like to you?</t>
        </is>
      </c>
      <c r="C301" s="44" t="n"/>
      <c r="D301" s="28" t="n"/>
      <c r="E301" s="28" t="n"/>
      <c r="F301" t="n">
        <v>1</v>
      </c>
    </row>
    <row r="302" ht="48" customHeight="1">
      <c r="B302" s="43" t="inlineStr">
        <is>
          <t>What would need to change between now and then for that to happen?</t>
        </is>
      </c>
      <c r="C302" s="44" t="n"/>
      <c r="D302" s="28" t="n"/>
      <c r="E302" s="28" t="n"/>
      <c r="F302" t="n">
        <v>1</v>
      </c>
    </row>
    <row r="304" ht="24" customHeight="1">
      <c r="A304" s="42" t="inlineStr">
        <is>
          <t>15. YOUR NEXT 90 DAYS</t>
        </is>
      </c>
    </row>
    <row r="305" ht="48" customHeight="1">
      <c r="B305" s="43" t="inlineStr">
        <is>
          <t>One thing I need to STOP doing:</t>
        </is>
      </c>
      <c r="C305" s="44" t="n"/>
      <c r="D305" s="28" t="n"/>
      <c r="E305" s="28" t="n"/>
      <c r="F305" t="n">
        <v>1</v>
      </c>
    </row>
    <row r="306" ht="48" customHeight="1">
      <c r="B306" s="43" t="inlineStr">
        <is>
          <t>One thing I need to START doing:</t>
        </is>
      </c>
      <c r="C306" s="44" t="n"/>
      <c r="D306" s="28" t="n"/>
      <c r="E306" s="28" t="n"/>
      <c r="F306" t="n">
        <v>1</v>
      </c>
    </row>
    <row r="307" ht="48" customHeight="1">
      <c r="B307" s="43" t="inlineStr">
        <is>
          <t>One thing I need to CONTINUE doing:</t>
        </is>
      </c>
      <c r="C307" s="44" t="n"/>
      <c r="D307" s="28" t="n"/>
      <c r="E307" s="28" t="n"/>
      <c r="F307" t="n">
        <v>1</v>
      </c>
    </row>
    <row r="308" ht="48" customHeight="1">
      <c r="B308" s="43" t="inlineStr">
        <is>
          <t>My primary prospecting strategy will be:</t>
        </is>
      </c>
      <c r="C308" s="44" t="n"/>
      <c r="D308" s="28" t="n"/>
      <c r="E308" s="28" t="n"/>
      <c r="F308" t="n">
        <v>1</v>
      </c>
    </row>
    <row r="309" ht="48" customHeight="1">
      <c r="B309" s="43" t="inlineStr">
        <is>
          <t>My primary market / product focus will be:</t>
        </is>
      </c>
      <c r="C309" s="44" t="n"/>
      <c r="D309" s="28" t="n"/>
      <c r="E309" s="28" t="n"/>
      <c r="F309" t="n">
        <v>1</v>
      </c>
    </row>
    <row r="310" ht="48" customHeight="1">
      <c r="B310" s="43" t="inlineStr">
        <is>
          <t>The biggest improvement I want to make over the next 90 days is:</t>
        </is>
      </c>
      <c r="C310" s="44" t="n"/>
      <c r="D310" s="28" t="n"/>
      <c r="E310" s="28" t="n"/>
      <c r="F310" t="n">
        <v>1</v>
      </c>
    </row>
    <row r="311" ht="48" customHeight="1">
      <c r="B311" s="43" t="inlineStr">
        <is>
          <t>One commitment I am making to myself before our next meeting:</t>
        </is>
      </c>
      <c r="C311" s="44" t="n"/>
      <c r="D311" s="28" t="n"/>
      <c r="E311" s="28" t="n"/>
      <c r="F311" t="n">
        <v>1</v>
      </c>
    </row>
  </sheetData>
  <mergeCells count="123">
    <mergeCell ref="C44:E44"/>
    <mergeCell ref="C255:E255"/>
    <mergeCell ref="C80:E80"/>
    <mergeCell ref="A1:E1"/>
    <mergeCell ref="C192:E192"/>
    <mergeCell ref="C51:E51"/>
    <mergeCell ref="C297:E297"/>
    <mergeCell ref="C299:E299"/>
    <mergeCell ref="C7:E7"/>
    <mergeCell ref="A282:E282"/>
    <mergeCell ref="C155:E155"/>
    <mergeCell ref="C307:E307"/>
    <mergeCell ref="C18:E18"/>
    <mergeCell ref="C49:E49"/>
    <mergeCell ref="C285:E285"/>
    <mergeCell ref="A194:E194"/>
    <mergeCell ref="C77:E77"/>
    <mergeCell ref="C157:E157"/>
    <mergeCell ref="C151:E151"/>
    <mergeCell ref="C284:E284"/>
    <mergeCell ref="C74:E74"/>
    <mergeCell ref="A293:E293"/>
    <mergeCell ref="C309:E309"/>
    <mergeCell ref="D148:E148"/>
    <mergeCell ref="C20:E20"/>
    <mergeCell ref="C112:E112"/>
    <mergeCell ref="A83:E83"/>
    <mergeCell ref="C75:E75"/>
    <mergeCell ref="C311:E311"/>
    <mergeCell ref="C130:E130"/>
    <mergeCell ref="C12:E12"/>
    <mergeCell ref="C295:E295"/>
    <mergeCell ref="C46:E46"/>
    <mergeCell ref="C52:E52"/>
    <mergeCell ref="C70:E70"/>
    <mergeCell ref="C159:E159"/>
    <mergeCell ref="C48:E48"/>
    <mergeCell ref="C81:E81"/>
    <mergeCell ref="C38:E38"/>
    <mergeCell ref="C296:E296"/>
    <mergeCell ref="C131:E131"/>
    <mergeCell ref="C298:E298"/>
    <mergeCell ref="A5:E5"/>
    <mergeCell ref="A14:E14"/>
    <mergeCell ref="C116:E116"/>
    <mergeCell ref="C156:E156"/>
    <mergeCell ref="C79:E79"/>
    <mergeCell ref="C73:E73"/>
    <mergeCell ref="D129:E129"/>
    <mergeCell ref="D252:E252"/>
    <mergeCell ref="C302:E302"/>
    <mergeCell ref="A40:E40"/>
    <mergeCell ref="C10:E10"/>
    <mergeCell ref="C16:E16"/>
    <mergeCell ref="C305:E305"/>
    <mergeCell ref="C50:E50"/>
    <mergeCell ref="C173:E173"/>
    <mergeCell ref="C286:E286"/>
    <mergeCell ref="C301:E301"/>
    <mergeCell ref="C9:E9"/>
    <mergeCell ref="A228:E228"/>
    <mergeCell ref="C115:E115"/>
    <mergeCell ref="C300:E300"/>
    <mergeCell ref="C11:E11"/>
    <mergeCell ref="C278:E278"/>
    <mergeCell ref="C287:E287"/>
    <mergeCell ref="C150:E150"/>
    <mergeCell ref="A84:E84"/>
    <mergeCell ref="C158:E158"/>
    <mergeCell ref="C67:E67"/>
    <mergeCell ref="C289:E289"/>
    <mergeCell ref="C190:E190"/>
    <mergeCell ref="D171:E171"/>
    <mergeCell ref="A2:E2"/>
    <mergeCell ref="C69:E69"/>
    <mergeCell ref="C254:E254"/>
    <mergeCell ref="C78:E78"/>
    <mergeCell ref="C6:E6"/>
    <mergeCell ref="C191:E191"/>
    <mergeCell ref="C225:E225"/>
    <mergeCell ref="A72:E72"/>
    <mergeCell ref="A134:E134"/>
    <mergeCell ref="C172:E172"/>
    <mergeCell ref="C306:E306"/>
    <mergeCell ref="A176:E176"/>
    <mergeCell ref="A114:E114"/>
    <mergeCell ref="C226:E226"/>
    <mergeCell ref="A15:E15"/>
    <mergeCell ref="C277:E277"/>
    <mergeCell ref="A257:E257"/>
    <mergeCell ref="A304:E304"/>
    <mergeCell ref="C291:E291"/>
    <mergeCell ref="C43:E43"/>
    <mergeCell ref="C188:E188"/>
    <mergeCell ref="C76:E76"/>
    <mergeCell ref="C132:E132"/>
    <mergeCell ref="C110:E110"/>
    <mergeCell ref="A177:E177"/>
    <mergeCell ref="A41:E41"/>
    <mergeCell ref="C8:E8"/>
    <mergeCell ref="A283:E283"/>
    <mergeCell ref="C17:E17"/>
    <mergeCell ref="C253:E253"/>
    <mergeCell ref="C174:E174"/>
    <mergeCell ref="C149:E149"/>
    <mergeCell ref="A154:E154"/>
    <mergeCell ref="C280:E280"/>
    <mergeCell ref="C66:E66"/>
    <mergeCell ref="C308:E308"/>
    <mergeCell ref="C19:E19"/>
    <mergeCell ref="C189:E189"/>
    <mergeCell ref="A195:E195"/>
    <mergeCell ref="C111:E111"/>
    <mergeCell ref="C68:E68"/>
    <mergeCell ref="C310:E310"/>
    <mergeCell ref="C279:E279"/>
    <mergeCell ref="C288:E288"/>
    <mergeCell ref="C294:E294"/>
    <mergeCell ref="C45:E45"/>
    <mergeCell ref="C290:E290"/>
    <mergeCell ref="C152:E152"/>
    <mergeCell ref="C109:E109"/>
    <mergeCell ref="C47:E47"/>
  </mergeCells>
  <dataValidations count="20">
    <dataValidation sqref="C9" showDropDown="0" showInputMessage="0" showErrorMessage="0" allowBlank="1" type="list">
      <formula1>"Primarily Commercial,Primarily Residential,Mix of Commercial and Residential,New to Real Estate,Building My Commercial Business,Other"</formula1>
    </dataValidation>
    <dataValidation sqref="C11" showDropDown="0" showInputMessage="0" showErrorMessage="0" allowBlank="1" type="list">
      <formula1>"Yes,No,Transitioning toward it"</formula1>
    </dataValidation>
    <dataValidation sqref="C20" showDropDown="0" showInputMessage="0" showErrorMessage="0" allowBlank="1" type="list">
      <formula1>"Yes,Somewhat,No"</formula1>
    </dataValidation>
    <dataValidation sqref="C23:C29" showDropDown="0" showInputMessage="0" showErrorMessage="0" allowBlank="1" type="list">
      <formula1>"Yes,No"</formula1>
    </dataValidation>
    <dataValidation sqref="C73" showDropDown="0" showInputMessage="0" showErrorMessage="0" allowBlank="1" type="list">
      <formula1>"Almost always,Sometimes,Rarely,Never"</formula1>
    </dataValidation>
    <dataValidation sqref="C74" showDropDown="0" showInputMessage="0" showErrorMessage="0" allowBlank="1" type="list">
      <formula1>"Yes,Somewhat,No"</formula1>
    </dataValidation>
    <dataValidation sqref="C75" showDropDown="0" showInputMessage="0" showErrorMessage="0" allowBlank="1" type="list">
      <formula1>"Yes,Sometimes,No"</formula1>
    </dataValidation>
    <dataValidation sqref="C86:C108" showDropDown="0" showInputMessage="0" showErrorMessage="0" allowBlank="1" type="list">
      <formula1>"0,1,2,3,4,5"</formula1>
    </dataValidation>
    <dataValidation sqref="D86:D108" showDropDown="0" showInputMessage="0" showErrorMessage="0" allowBlank="1" type="list">
      <formula1>"Yes,No"</formula1>
    </dataValidation>
    <dataValidation sqref="C116" showDropDown="0" showInputMessage="0" showErrorMessage="0" allowBlank="1" type="list">
      <formula1>"Very few,Some,Most,Nearly all,Unsure"</formula1>
    </dataValidation>
    <dataValidation sqref="C118:C129" showDropDown="0" showInputMessage="0" showErrorMessage="0" allowBlank="1" type="list">
      <formula1>"Yes,No"</formula1>
    </dataValidation>
    <dataValidation sqref="C136:C148" showDropDown="0" showInputMessage="0" showErrorMessage="0" allowBlank="1" type="list">
      <formula1>"Yes,No"</formula1>
    </dataValidation>
    <dataValidation sqref="C150" showDropDown="0" showInputMessage="0" showErrorMessage="0" allowBlank="1" type="list">
      <formula1>"Weekly,Monthly,Quarterly,Occasionally,Almost never"</formula1>
    </dataValidation>
    <dataValidation sqref="C155" showDropDown="0" showInputMessage="0" showErrorMessage="0" allowBlank="1" type="list">
      <formula1>"Yes,Somewhat,No,Still determining it"</formula1>
    </dataValidation>
    <dataValidation sqref="C156" showDropDown="0" showInputMessage="0" showErrorMessage="0" allowBlank="1" type="list">
      <formula1>"Yes,No"</formula1>
    </dataValidation>
    <dataValidation sqref="C161:C171" showDropDown="0" showInputMessage="0" showErrorMessage="0" allowBlank="1" type="list">
      <formula1>"Yes,No"</formula1>
    </dataValidation>
    <dataValidation sqref="C192" showDropDown="0" showInputMessage="0" showErrorMessage="0" allowBlank="1" type="list">
      <formula1>"Yes,Approximately,No"</formula1>
    </dataValidation>
    <dataValidation sqref="C197:C224" showDropDown="0" showInputMessage="0" showErrorMessage="0" allowBlank="1" type="list">
      <formula1>"1,2,3,4,5"</formula1>
    </dataValidation>
    <dataValidation sqref="C230:C252" showDropDown="0" showInputMessage="0" showErrorMessage="0" allowBlank="1" type="list">
      <formula1>"Yes,No"</formula1>
    </dataValidation>
    <dataValidation sqref="C259:C2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/>
  </sheetPr>
  <dimension ref="A1:Z8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  <col width="12" customWidth="1" min="15" max="15"/>
    <col width="9" customWidth="1" min="16" max="16"/>
    <col width="10" customWidth="1" min="17" max="17"/>
    <col width="9" customWidth="1" min="18" max="18"/>
    <col width="13" customWidth="1" min="19" max="19"/>
    <col width="12" customWidth="1" min="20" max="20"/>
    <col width="14" customWidth="1" min="21" max="21"/>
    <col width="30" customWidth="1" min="22" max="22"/>
    <col width="30" customWidth="1" min="23" max="23"/>
    <col width="30" customWidth="1" min="24" max="24"/>
    <col width="17" customWidth="1" min="25" max="25"/>
    <col width="12" customWidth="1" min="26" max="26"/>
  </cols>
  <sheetData>
    <row r="1" ht="34" customHeight="1">
      <c r="A1" s="1">
        <f>IF('Settings'!B18="","Agent 5",'Settings'!B18)&amp;" — Weekly Score Card"</f>
        <v/>
      </c>
    </row>
    <row r="2" ht="30" customHeight="1">
      <c r="A2" s="5" t="inlineStr">
        <is>
          <t>Fill in your row for the current week by Friday end of day (yellow cells). Estimates are fine. “Follow-Ups Outstanding” and “Pipeline Potential GCI” are snapshots as of the end of the week; everything else is what happened that week. Q4 progress below updates automatically.</t>
        </is>
      </c>
    </row>
    <row r="4">
      <c r="A4" s="30" t="inlineStr">
        <is>
          <t>Q4 2026 PROGRESS  (goals come from Section 13 of your Assessment)</t>
        </is>
      </c>
      <c r="H4" s="2" t="inlineStr">
        <is>
          <t>ACCOUNTABILITY</t>
        </is>
      </c>
    </row>
    <row r="5">
      <c r="A5" s="8" t="inlineStr">
        <is>
          <t>Metric</t>
        </is>
      </c>
      <c r="B5" s="31" t="n"/>
      <c r="C5" s="8" t="inlineStr">
        <is>
          <t>Q4 Goal</t>
        </is>
      </c>
      <c r="D5" s="8" t="inlineStr">
        <is>
          <t>Q4 Actual</t>
        </is>
      </c>
      <c r="E5" s="8" t="inlineStr">
        <is>
          <t>% to Goal</t>
        </is>
      </c>
      <c r="F5" s="8" t="inlineStr">
        <is>
          <t>On Pace?</t>
        </is>
      </c>
      <c r="H5" s="3" t="inlineStr">
        <is>
          <t>Weeks updated</t>
        </is>
      </c>
      <c r="K5" s="32">
        <f>COUNTIFS($A$15:$A$80,"&lt;="&amp;TODAY(),$Y$15:$Y$80,"&lt;&gt;")</f>
        <v/>
      </c>
    </row>
    <row r="6">
      <c r="A6" s="33" t="inlineStr">
        <is>
          <t>Commercial GCI</t>
        </is>
      </c>
      <c r="B6" s="34" t="n"/>
      <c r="C6" s="12">
        <f>IF('Agent 5 Assessment'!C285="","",'Agent 5 Assessment'!C285)</f>
        <v/>
      </c>
      <c r="D6" s="12">
        <f>SUMIFS($T$15:$T$80,$A$15:$A$80,"&gt;="&amp;DATE(2026,9,28),$A$15:$A$80,"&lt;="&amp;DATE(2026,12,31))</f>
        <v/>
      </c>
      <c r="E6" s="10">
        <f>IFERROR(D6/C6,"")</f>
        <v/>
      </c>
      <c r="F6" s="11">
        <f>IF(C6="","Set goal",IF(D6&gt;=C6*MAX(0,MIN(1,(TODAY()-DATE(2026,10,1))/(DATE(2026,12,31)-DATE(2026,10,1)))),"On pace","Behind"))</f>
        <v/>
      </c>
      <c r="H6" s="3" t="inlineStr">
        <is>
          <t>Weeks elapsed</t>
        </is>
      </c>
      <c r="K6" s="32">
        <f>COUNTIFS($A$15:$A$80,"&lt;="&amp;TODAY())</f>
        <v/>
      </c>
    </row>
    <row r="7">
      <c r="A7" s="33" t="inlineStr">
        <is>
          <t>Transaction Volume</t>
        </is>
      </c>
      <c r="B7" s="34" t="n"/>
      <c r="C7" s="12">
        <f>IF('Agent 5 Assessment'!C284="","",'Agent 5 Assessment'!C284)</f>
        <v/>
      </c>
      <c r="D7" s="12">
        <f>SUMIFS($S$15:$S$80,$A$15:$A$80,"&gt;="&amp;DATE(2026,9,28),$A$15:$A$80,"&lt;="&amp;DATE(2026,12,31))</f>
        <v/>
      </c>
      <c r="E7" s="10">
        <f>IFERROR(D7/C7,"")</f>
        <v/>
      </c>
      <c r="F7" s="11">
        <f>IF(C7="","Set goal",IF(D7&gt;=C7*MAX(0,MIN(1,(TODAY()-DATE(2026,10,1))/(DATE(2026,12,31)-DATE(2026,10,1)))),"On pace","Behind"))</f>
        <v/>
      </c>
      <c r="H7" s="3" t="inlineStr">
        <is>
          <t>Consistency</t>
        </is>
      </c>
      <c r="K7" s="17">
        <f>IFERROR(K5/K6,0)</f>
        <v/>
      </c>
    </row>
    <row r="8">
      <c r="A8" s="33" t="inlineStr">
        <is>
          <t>Closings</t>
        </is>
      </c>
      <c r="B8" s="34" t="n"/>
      <c r="C8" s="11">
        <f>IF('Agent 5 Assessment'!C286="","",'Agent 5 Assessment'!C286)</f>
        <v/>
      </c>
      <c r="D8" s="11">
        <f>SUMIFS($R$15:$R$80,$A$15:$A$80,"&gt;="&amp;DATE(2026,9,28),$A$15:$A$80,"&lt;="&amp;DATE(2026,12,31))</f>
        <v/>
      </c>
      <c r="E8" s="10">
        <f>IFERROR(D8/C8,"")</f>
        <v/>
      </c>
      <c r="F8" s="11">
        <f>IF(C8="","Set goal",IF(D8&gt;=C8*MAX(0,MIN(1,(TODAY()-DATE(2026,10,1))/(DATE(2026,12,31)-DATE(2026,10,1)))),"On pace","Behind"))</f>
        <v/>
      </c>
      <c r="H8" s="3" t="inlineStr">
        <is>
          <t>Avg calls / week</t>
        </is>
      </c>
      <c r="K8" s="20">
        <f>IFERROR(AVERAGEIFS($F$15:$F$80,$A$15:$A$80,"&lt;="&amp;TODAY(),$F$15:$F$80,"&lt;&gt;"),0)</f>
        <v/>
      </c>
    </row>
    <row r="9">
      <c r="A9" s="33" t="inlineStr">
        <is>
          <t>New Listings</t>
        </is>
      </c>
      <c r="B9" s="34" t="n"/>
      <c r="C9" s="11">
        <f>IF('Agent 5 Assessment'!C287="","",'Agent 5 Assessment'!C287)</f>
        <v/>
      </c>
      <c r="D9" s="11">
        <f>SUMIFS($N$15:$N$80,$A$15:$A$80,"&gt;="&amp;DATE(2026,9,28),$A$15:$A$80,"&lt;="&amp;DATE(2026,12,31))</f>
        <v/>
      </c>
      <c r="E9" s="10">
        <f>IFERROR(D9/C9,"")</f>
        <v/>
      </c>
      <c r="F9" s="11">
        <f>IF(C9="","Set goal",IF(D9&gt;=C9*MAX(0,MIN(1,(TODAY()-DATE(2026,10,1))/(DATE(2026,12,31)-DATE(2026,10,1)))),"On pace","Behind"))</f>
        <v/>
      </c>
      <c r="H9" s="3" t="inlineStr">
        <is>
          <t>Avg meetings / week</t>
        </is>
      </c>
      <c r="K9" s="20">
        <f>IFERROR(AVERAGEIFS($H$15:$H$80,$A$15:$A$80,"&lt;="&amp;TODAY(),$H$15:$H$80,"&lt;&gt;"),0)</f>
        <v/>
      </c>
    </row>
    <row r="10">
      <c r="A10" s="33" t="inlineStr">
        <is>
          <t>New Buyer / Tenant Assignments</t>
        </is>
      </c>
      <c r="B10" s="34" t="n"/>
      <c r="C10" s="11">
        <f>IF('Agent 5 Assessment'!C288="","",'Agent 5 Assessment'!C288)</f>
        <v/>
      </c>
      <c r="D10" s="11">
        <f>SUMIFS($O$15:$O$80,$A$15:$A$80,"&gt;="&amp;DATE(2026,9,28),$A$15:$A$80,"&lt;="&amp;DATE(2026,12,31))</f>
        <v/>
      </c>
      <c r="E10" s="10">
        <f>IFERROR(D10/C10,"")</f>
        <v/>
      </c>
      <c r="F10" s="11">
        <f>IF(C10="","Set goal",IF(D10&gt;=C10*MAX(0,MIN(1,(TODAY()-DATE(2026,10,1))/(DATE(2026,12,31)-DATE(2026,10,1)))),"On pace","Behind"))</f>
        <v/>
      </c>
      <c r="H10" s="3" t="inlineStr">
        <is>
          <t>Latest pipeline GCI</t>
        </is>
      </c>
      <c r="K10" s="19">
        <f>IFERROR(INDEX($U$15:$U$80,MATCH(1E+100,$U$15:$U$80)),"")</f>
        <v/>
      </c>
    </row>
    <row r="11">
      <c r="A11" s="33" t="inlineStr">
        <is>
          <t>Qualified Opportunities Created</t>
        </is>
      </c>
      <c r="B11" s="34" t="n"/>
      <c r="C11" s="11">
        <f>IF('Agent 5 Assessment'!C289="","",'Agent 5 Assessment'!C289)</f>
        <v/>
      </c>
      <c r="D11" s="11">
        <f>SUMIFS($I$15:$I$80,$A$15:$A$80,"&gt;="&amp;DATE(2026,9,28),$A$15:$A$80,"&lt;="&amp;DATE(2026,12,31))</f>
        <v/>
      </c>
      <c r="E11" s="10">
        <f>IFERROR(D11/C11,"")</f>
        <v/>
      </c>
      <c r="F11" s="11">
        <f>IF(C11="","Set goal",IF(D11&gt;=C11*MAX(0,MIN(1,(TODAY()-DATE(2026,10,1))/(DATE(2026,12,31)-DATE(2026,10,1)))),"On pace","Behind"))</f>
        <v/>
      </c>
      <c r="H11" s="3" t="inlineStr">
        <is>
          <t>Assessment complete</t>
        </is>
      </c>
      <c r="K11" s="17">
        <f>'Agent 5 Assessment'!C3</f>
        <v/>
      </c>
    </row>
    <row r="12">
      <c r="A12" s="33" t="inlineStr">
        <is>
          <t>Meetings (goal = per month × 3)</t>
        </is>
      </c>
      <c r="B12" s="34" t="n"/>
      <c r="C12" s="11">
        <f>IF('Agent 5 Assessment'!C290="","",'Agent 5 Assessment'!C290*3)</f>
        <v/>
      </c>
      <c r="D12" s="11">
        <f>SUMIFS($H$15:$H$80,$A$15:$A$80,"&gt;="&amp;DATE(2026,9,28),$A$15:$A$80,"&lt;="&amp;DATE(2026,12,31))</f>
        <v/>
      </c>
      <c r="E12" s="10">
        <f>IFERROR(D12/C12,"")</f>
        <v/>
      </c>
      <c r="F12" s="11">
        <f>IF(C12="","Set goal",IF(D12&gt;=C12*MAX(0,MIN(1,(TODAY()-DATE(2026,10,1))/(DATE(2026,12,31)-DATE(2026,10,1)))),"On pace","Behind"))</f>
        <v/>
      </c>
    </row>
    <row r="14" ht="48" customHeight="1">
      <c r="A14" s="8" t="inlineStr">
        <is>
          <t>Week Of (Mon)</t>
        </is>
      </c>
      <c r="B14" s="8" t="inlineStr">
        <is>
          <t>Days Worked</t>
        </is>
      </c>
      <c r="C14" s="8" t="inlineStr">
        <is>
          <t>Total RE Hours</t>
        </is>
      </c>
      <c r="D14" s="8" t="inlineStr">
        <is>
          <t>Commercial Hours</t>
        </is>
      </c>
      <c r="E14" s="8" t="inlineStr">
        <is>
          <t>Prospecting Hours</t>
        </is>
      </c>
      <c r="F14" s="8" t="inlineStr">
        <is>
          <t>Calls / Outreach Attempts</t>
        </is>
      </c>
      <c r="G14" s="8" t="inlineStr">
        <is>
          <t>Decision-Maker Conversations</t>
        </is>
      </c>
      <c r="H14" s="8" t="inlineStr">
        <is>
          <t>Prospect / Client Meetings</t>
        </is>
      </c>
      <c r="I14" s="8" t="inlineStr">
        <is>
          <t>New Opportunities Created</t>
        </is>
      </c>
      <c r="J14" s="8" t="inlineStr">
        <is>
          <t>New Database Contacts</t>
        </is>
      </c>
      <c r="K14" s="8" t="inlineStr">
        <is>
          <t>Follow-Ups Outstanding</t>
        </is>
      </c>
      <c r="L14" s="8" t="inlineStr">
        <is>
          <t>Market Center Agent Conversations</t>
        </is>
      </c>
      <c r="M14" s="8" t="inlineStr">
        <is>
          <t>Sphere Touches</t>
        </is>
      </c>
      <c r="N14" s="8" t="inlineStr">
        <is>
          <t>New Listings</t>
        </is>
      </c>
      <c r="O14" s="8" t="inlineStr">
        <is>
          <t>New Buyer / Tenant Assignments</t>
        </is>
      </c>
      <c r="P14" s="8" t="inlineStr">
        <is>
          <t>LOIs Submitted</t>
        </is>
      </c>
      <c r="Q14" s="8" t="inlineStr">
        <is>
          <t>Went Under Contract</t>
        </is>
      </c>
      <c r="R14" s="8" t="inlineStr">
        <is>
          <t>Closings</t>
        </is>
      </c>
      <c r="S14" s="8" t="inlineStr">
        <is>
          <t>Volume Closed ($)</t>
        </is>
      </c>
      <c r="T14" s="8" t="inlineStr">
        <is>
          <t>GCI Closed ($)</t>
        </is>
      </c>
      <c r="U14" s="8" t="inlineStr">
        <is>
          <t>Pipeline Potential GCI ($)</t>
        </is>
      </c>
      <c r="V14" s="8" t="inlineStr">
        <is>
          <t>Win of the Week</t>
        </is>
      </c>
      <c r="W14" s="8" t="inlineStr">
        <is>
          <t>Biggest Obstacle</t>
        </is>
      </c>
      <c r="X14" s="8" t="inlineStr">
        <is>
          <t>#1 Focus Next Week</t>
        </is>
      </c>
      <c r="Y14" s="8" t="inlineStr">
        <is>
          <t>Last Updated (auto)</t>
        </is>
      </c>
      <c r="Z14" s="8" t="inlineStr">
        <is>
          <t>Status</t>
        </is>
      </c>
    </row>
    <row r="15">
      <c r="A15" s="35" t="n">
        <v>46293</v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7" t="n"/>
      <c r="T15" s="37" t="n"/>
      <c r="U15" s="37" t="n"/>
      <c r="V15" s="38" t="n"/>
      <c r="W15" s="38" t="n"/>
      <c r="X15" s="38" t="n"/>
      <c r="Y15" s="39" t="n"/>
      <c r="Z15" s="11">
        <f>IF(A15&gt;TODAY(),"Upcoming",IF(Y15&lt;&gt;"","✓ Updated",IF(A15+6&gt;=TODAY(),"Due Friday","⚠ Missing")))</f>
        <v/>
      </c>
    </row>
    <row r="16">
      <c r="A16" s="35" t="n">
        <v>46300</v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7" t="n"/>
      <c r="T16" s="37" t="n"/>
      <c r="U16" s="37" t="n"/>
      <c r="V16" s="38" t="n"/>
      <c r="W16" s="38" t="n"/>
      <c r="X16" s="38" t="n"/>
      <c r="Y16" s="39" t="n"/>
      <c r="Z16" s="11">
        <f>IF(A16&gt;TODAY(),"Upcoming",IF(Y16&lt;&gt;"","✓ Updated",IF(A16+6&gt;=TODAY(),"Due Friday","⚠ Missing")))</f>
        <v/>
      </c>
    </row>
    <row r="17">
      <c r="A17" s="35" t="n">
        <v>46307</v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7" t="n"/>
      <c r="T17" s="37" t="n"/>
      <c r="U17" s="37" t="n"/>
      <c r="V17" s="38" t="n"/>
      <c r="W17" s="38" t="n"/>
      <c r="X17" s="38" t="n"/>
      <c r="Y17" s="39" t="n"/>
      <c r="Z17" s="11">
        <f>IF(A17&gt;TODAY(),"Upcoming",IF(Y17&lt;&gt;"","✓ Updated",IF(A17+6&gt;=TODAY(),"Due Friday","⚠ Missing")))</f>
        <v/>
      </c>
    </row>
    <row r="18">
      <c r="A18" s="35" t="n">
        <v>46314</v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7" t="n"/>
      <c r="T18" s="37" t="n"/>
      <c r="U18" s="37" t="n"/>
      <c r="V18" s="38" t="n"/>
      <c r="W18" s="38" t="n"/>
      <c r="X18" s="38" t="n"/>
      <c r="Y18" s="39" t="n"/>
      <c r="Z18" s="11">
        <f>IF(A18&gt;TODAY(),"Upcoming",IF(Y18&lt;&gt;"","✓ Updated",IF(A18+6&gt;=TODAY(),"Due Friday","⚠ Missing")))</f>
        <v/>
      </c>
    </row>
    <row r="19">
      <c r="A19" s="35" t="n">
        <v>46321</v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7" t="n"/>
      <c r="T19" s="37" t="n"/>
      <c r="U19" s="37" t="n"/>
      <c r="V19" s="38" t="n"/>
      <c r="W19" s="38" t="n"/>
      <c r="X19" s="38" t="n"/>
      <c r="Y19" s="39" t="n"/>
      <c r="Z19" s="11">
        <f>IF(A19&gt;TODAY(),"Upcoming",IF(Y19&lt;&gt;"","✓ Updated",IF(A19+6&gt;=TODAY(),"Due Friday","⚠ Missing")))</f>
        <v/>
      </c>
    </row>
    <row r="20">
      <c r="A20" s="35" t="n">
        <v>46328</v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7" t="n"/>
      <c r="T20" s="37" t="n"/>
      <c r="U20" s="37" t="n"/>
      <c r="V20" s="38" t="n"/>
      <c r="W20" s="38" t="n"/>
      <c r="X20" s="38" t="n"/>
      <c r="Y20" s="39" t="n"/>
      <c r="Z20" s="11">
        <f>IF(A20&gt;TODAY(),"Upcoming",IF(Y20&lt;&gt;"","✓ Updated",IF(A20+6&gt;=TODAY(),"Due Friday","⚠ Missing")))</f>
        <v/>
      </c>
    </row>
    <row r="21">
      <c r="A21" s="35" t="n">
        <v>46335</v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7" t="n"/>
      <c r="T21" s="37" t="n"/>
      <c r="U21" s="37" t="n"/>
      <c r="V21" s="38" t="n"/>
      <c r="W21" s="38" t="n"/>
      <c r="X21" s="38" t="n"/>
      <c r="Y21" s="39" t="n"/>
      <c r="Z21" s="11">
        <f>IF(A21&gt;TODAY(),"Upcoming",IF(Y21&lt;&gt;"","✓ Updated",IF(A21+6&gt;=TODAY(),"Due Friday","⚠ Missing")))</f>
        <v/>
      </c>
    </row>
    <row r="22">
      <c r="A22" s="35" t="n">
        <v>46342</v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7" t="n"/>
      <c r="T22" s="37" t="n"/>
      <c r="U22" s="37" t="n"/>
      <c r="V22" s="38" t="n"/>
      <c r="W22" s="38" t="n"/>
      <c r="X22" s="38" t="n"/>
      <c r="Y22" s="39" t="n"/>
      <c r="Z22" s="11">
        <f>IF(A22&gt;TODAY(),"Upcoming",IF(Y22&lt;&gt;"","✓ Updated",IF(A22+6&gt;=TODAY(),"Due Friday","⚠ Missing")))</f>
        <v/>
      </c>
    </row>
    <row r="23">
      <c r="A23" s="35" t="n">
        <v>46349</v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7" t="n"/>
      <c r="T23" s="37" t="n"/>
      <c r="U23" s="37" t="n"/>
      <c r="V23" s="38" t="n"/>
      <c r="W23" s="38" t="n"/>
      <c r="X23" s="38" t="n"/>
      <c r="Y23" s="39" t="n"/>
      <c r="Z23" s="11">
        <f>IF(A23&gt;TODAY(),"Upcoming",IF(Y23&lt;&gt;"","✓ Updated",IF(A23+6&gt;=TODAY(),"Due Friday","⚠ Missing")))</f>
        <v/>
      </c>
    </row>
    <row r="24">
      <c r="A24" s="35" t="n">
        <v>46356</v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7" t="n"/>
      <c r="T24" s="37" t="n"/>
      <c r="U24" s="37" t="n"/>
      <c r="V24" s="38" t="n"/>
      <c r="W24" s="38" t="n"/>
      <c r="X24" s="38" t="n"/>
      <c r="Y24" s="39" t="n"/>
      <c r="Z24" s="11">
        <f>IF(A24&gt;TODAY(),"Upcoming",IF(Y24&lt;&gt;"","✓ Updated",IF(A24+6&gt;=TODAY(),"Due Friday","⚠ Missing")))</f>
        <v/>
      </c>
    </row>
    <row r="25">
      <c r="A25" s="35" t="n">
        <v>46363</v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7" t="n"/>
      <c r="T25" s="37" t="n"/>
      <c r="U25" s="37" t="n"/>
      <c r="V25" s="38" t="n"/>
      <c r="W25" s="38" t="n"/>
      <c r="X25" s="38" t="n"/>
      <c r="Y25" s="39" t="n"/>
      <c r="Z25" s="11">
        <f>IF(A25&gt;TODAY(),"Upcoming",IF(Y25&lt;&gt;"","✓ Updated",IF(A25+6&gt;=TODAY(),"Due Friday","⚠ Missing")))</f>
        <v/>
      </c>
    </row>
    <row r="26">
      <c r="A26" s="35" t="n">
        <v>46370</v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7" t="n"/>
      <c r="T26" s="37" t="n"/>
      <c r="U26" s="37" t="n"/>
      <c r="V26" s="38" t="n"/>
      <c r="W26" s="38" t="n"/>
      <c r="X26" s="38" t="n"/>
      <c r="Y26" s="39" t="n"/>
      <c r="Z26" s="11">
        <f>IF(A26&gt;TODAY(),"Upcoming",IF(Y26&lt;&gt;"","✓ Updated",IF(A26+6&gt;=TODAY(),"Due Friday","⚠ Missing")))</f>
        <v/>
      </c>
    </row>
    <row r="27">
      <c r="A27" s="35" t="n">
        <v>46377</v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7" t="n"/>
      <c r="T27" s="37" t="n"/>
      <c r="U27" s="37" t="n"/>
      <c r="V27" s="38" t="n"/>
      <c r="W27" s="38" t="n"/>
      <c r="X27" s="38" t="n"/>
      <c r="Y27" s="39" t="n"/>
      <c r="Z27" s="11">
        <f>IF(A27&gt;TODAY(),"Upcoming",IF(Y27&lt;&gt;"","✓ Updated",IF(A27+6&gt;=TODAY(),"Due Friday","⚠ Missing")))</f>
        <v/>
      </c>
    </row>
    <row r="28">
      <c r="A28" s="35" t="n">
        <v>46384</v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7" t="n"/>
      <c r="T28" s="37" t="n"/>
      <c r="U28" s="37" t="n"/>
      <c r="V28" s="38" t="n"/>
      <c r="W28" s="38" t="n"/>
      <c r="X28" s="38" t="n"/>
      <c r="Y28" s="39" t="n"/>
      <c r="Z28" s="11">
        <f>IF(A28&gt;TODAY(),"Upcoming",IF(Y28&lt;&gt;"","✓ Updated",IF(A28+6&gt;=TODAY(),"Due Friday","⚠ Missing")))</f>
        <v/>
      </c>
    </row>
    <row r="29">
      <c r="A29" s="35" t="n">
        <v>46391</v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7" t="n"/>
      <c r="T29" s="37" t="n"/>
      <c r="U29" s="37" t="n"/>
      <c r="V29" s="38" t="n"/>
      <c r="W29" s="38" t="n"/>
      <c r="X29" s="38" t="n"/>
      <c r="Y29" s="39" t="n"/>
      <c r="Z29" s="11">
        <f>IF(A29&gt;TODAY(),"Upcoming",IF(Y29&lt;&gt;"","✓ Updated",IF(A29+6&gt;=TODAY(),"Due Friday","⚠ Missing")))</f>
        <v/>
      </c>
    </row>
    <row r="30">
      <c r="A30" s="35" t="n">
        <v>46398</v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7" t="n"/>
      <c r="T30" s="37" t="n"/>
      <c r="U30" s="37" t="n"/>
      <c r="V30" s="38" t="n"/>
      <c r="W30" s="38" t="n"/>
      <c r="X30" s="38" t="n"/>
      <c r="Y30" s="39" t="n"/>
      <c r="Z30" s="11">
        <f>IF(A30&gt;TODAY(),"Upcoming",IF(Y30&lt;&gt;"","✓ Updated",IF(A30+6&gt;=TODAY(),"Due Friday","⚠ Missing")))</f>
        <v/>
      </c>
    </row>
    <row r="31">
      <c r="A31" s="35" t="n">
        <v>46405</v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7" t="n"/>
      <c r="T31" s="37" t="n"/>
      <c r="U31" s="37" t="n"/>
      <c r="V31" s="38" t="n"/>
      <c r="W31" s="38" t="n"/>
      <c r="X31" s="38" t="n"/>
      <c r="Y31" s="39" t="n"/>
      <c r="Z31" s="11">
        <f>IF(A31&gt;TODAY(),"Upcoming",IF(Y31&lt;&gt;"","✓ Updated",IF(A31+6&gt;=TODAY(),"Due Friday","⚠ Missing")))</f>
        <v/>
      </c>
    </row>
    <row r="32">
      <c r="A32" s="35" t="n">
        <v>46412</v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7" t="n"/>
      <c r="T32" s="37" t="n"/>
      <c r="U32" s="37" t="n"/>
      <c r="V32" s="38" t="n"/>
      <c r="W32" s="38" t="n"/>
      <c r="X32" s="38" t="n"/>
      <c r="Y32" s="39" t="n"/>
      <c r="Z32" s="11">
        <f>IF(A32&gt;TODAY(),"Upcoming",IF(Y32&lt;&gt;"","✓ Updated",IF(A32+6&gt;=TODAY(),"Due Friday","⚠ Missing")))</f>
        <v/>
      </c>
    </row>
    <row r="33">
      <c r="A33" s="35" t="n">
        <v>46419</v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7" t="n"/>
      <c r="T33" s="37" t="n"/>
      <c r="U33" s="37" t="n"/>
      <c r="V33" s="38" t="n"/>
      <c r="W33" s="38" t="n"/>
      <c r="X33" s="38" t="n"/>
      <c r="Y33" s="39" t="n"/>
      <c r="Z33" s="11">
        <f>IF(A33&gt;TODAY(),"Upcoming",IF(Y33&lt;&gt;"","✓ Updated",IF(A33+6&gt;=TODAY(),"Due Friday","⚠ Missing")))</f>
        <v/>
      </c>
    </row>
    <row r="34">
      <c r="A34" s="35" t="n">
        <v>46426</v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7" t="n"/>
      <c r="T34" s="37" t="n"/>
      <c r="U34" s="37" t="n"/>
      <c r="V34" s="38" t="n"/>
      <c r="W34" s="38" t="n"/>
      <c r="X34" s="38" t="n"/>
      <c r="Y34" s="39" t="n"/>
      <c r="Z34" s="11">
        <f>IF(A34&gt;TODAY(),"Upcoming",IF(Y34&lt;&gt;"","✓ Updated",IF(A34+6&gt;=TODAY(),"Due Friday","⚠ Missing")))</f>
        <v/>
      </c>
    </row>
    <row r="35">
      <c r="A35" s="35" t="n">
        <v>46433</v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7" t="n"/>
      <c r="T35" s="37" t="n"/>
      <c r="U35" s="37" t="n"/>
      <c r="V35" s="38" t="n"/>
      <c r="W35" s="38" t="n"/>
      <c r="X35" s="38" t="n"/>
      <c r="Y35" s="39" t="n"/>
      <c r="Z35" s="11">
        <f>IF(A35&gt;TODAY(),"Upcoming",IF(Y35&lt;&gt;"","✓ Updated",IF(A35+6&gt;=TODAY(),"Due Friday","⚠ Missing")))</f>
        <v/>
      </c>
    </row>
    <row r="36">
      <c r="A36" s="35" t="n">
        <v>46440</v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7" t="n"/>
      <c r="T36" s="37" t="n"/>
      <c r="U36" s="37" t="n"/>
      <c r="V36" s="38" t="n"/>
      <c r="W36" s="38" t="n"/>
      <c r="X36" s="38" t="n"/>
      <c r="Y36" s="39" t="n"/>
      <c r="Z36" s="11">
        <f>IF(A36&gt;TODAY(),"Upcoming",IF(Y36&lt;&gt;"","✓ Updated",IF(A36+6&gt;=TODAY(),"Due Friday","⚠ Missing")))</f>
        <v/>
      </c>
    </row>
    <row r="37">
      <c r="A37" s="35" t="n">
        <v>46447</v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7" t="n"/>
      <c r="T37" s="37" t="n"/>
      <c r="U37" s="37" t="n"/>
      <c r="V37" s="38" t="n"/>
      <c r="W37" s="38" t="n"/>
      <c r="X37" s="38" t="n"/>
      <c r="Y37" s="39" t="n"/>
      <c r="Z37" s="11">
        <f>IF(A37&gt;TODAY(),"Upcoming",IF(Y37&lt;&gt;"","✓ Updated",IF(A37+6&gt;=TODAY(),"Due Friday","⚠ Missing")))</f>
        <v/>
      </c>
    </row>
    <row r="38">
      <c r="A38" s="35" t="n">
        <v>46454</v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7" t="n"/>
      <c r="T38" s="37" t="n"/>
      <c r="U38" s="37" t="n"/>
      <c r="V38" s="38" t="n"/>
      <c r="W38" s="38" t="n"/>
      <c r="X38" s="38" t="n"/>
      <c r="Y38" s="39" t="n"/>
      <c r="Z38" s="11">
        <f>IF(A38&gt;TODAY(),"Upcoming",IF(Y38&lt;&gt;"","✓ Updated",IF(A38+6&gt;=TODAY(),"Due Friday","⚠ Missing")))</f>
        <v/>
      </c>
    </row>
    <row r="39">
      <c r="A39" s="35" t="n">
        <v>46461</v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7" t="n"/>
      <c r="T39" s="37" t="n"/>
      <c r="U39" s="37" t="n"/>
      <c r="V39" s="38" t="n"/>
      <c r="W39" s="38" t="n"/>
      <c r="X39" s="38" t="n"/>
      <c r="Y39" s="39" t="n"/>
      <c r="Z39" s="11">
        <f>IF(A39&gt;TODAY(),"Upcoming",IF(Y39&lt;&gt;"","✓ Updated",IF(A39+6&gt;=TODAY(),"Due Friday","⚠ Missing")))</f>
        <v/>
      </c>
    </row>
    <row r="40">
      <c r="A40" s="35" t="n">
        <v>46468</v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7" t="n"/>
      <c r="T40" s="37" t="n"/>
      <c r="U40" s="37" t="n"/>
      <c r="V40" s="38" t="n"/>
      <c r="W40" s="38" t="n"/>
      <c r="X40" s="38" t="n"/>
      <c r="Y40" s="39" t="n"/>
      <c r="Z40" s="11">
        <f>IF(A40&gt;TODAY(),"Upcoming",IF(Y40&lt;&gt;"","✓ Updated",IF(A40+6&gt;=TODAY(),"Due Friday","⚠ Missing")))</f>
        <v/>
      </c>
    </row>
    <row r="41">
      <c r="A41" s="35" t="n">
        <v>46475</v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7" t="n"/>
      <c r="T41" s="37" t="n"/>
      <c r="U41" s="37" t="n"/>
      <c r="V41" s="38" t="n"/>
      <c r="W41" s="38" t="n"/>
      <c r="X41" s="38" t="n"/>
      <c r="Y41" s="39" t="n"/>
      <c r="Z41" s="11">
        <f>IF(A41&gt;TODAY(),"Upcoming",IF(Y41&lt;&gt;"","✓ Updated",IF(A41+6&gt;=TODAY(),"Due Friday","⚠ Missing")))</f>
        <v/>
      </c>
    </row>
    <row r="42">
      <c r="A42" s="35" t="n">
        <v>46482</v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7" t="n"/>
      <c r="T42" s="37" t="n"/>
      <c r="U42" s="37" t="n"/>
      <c r="V42" s="38" t="n"/>
      <c r="W42" s="38" t="n"/>
      <c r="X42" s="38" t="n"/>
      <c r="Y42" s="39" t="n"/>
      <c r="Z42" s="11">
        <f>IF(A42&gt;TODAY(),"Upcoming",IF(Y42&lt;&gt;"","✓ Updated",IF(A42+6&gt;=TODAY(),"Due Friday","⚠ Missing")))</f>
        <v/>
      </c>
    </row>
    <row r="43">
      <c r="A43" s="35" t="n">
        <v>46489</v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7" t="n"/>
      <c r="T43" s="37" t="n"/>
      <c r="U43" s="37" t="n"/>
      <c r="V43" s="38" t="n"/>
      <c r="W43" s="38" t="n"/>
      <c r="X43" s="38" t="n"/>
      <c r="Y43" s="39" t="n"/>
      <c r="Z43" s="11">
        <f>IF(A43&gt;TODAY(),"Upcoming",IF(Y43&lt;&gt;"","✓ Updated",IF(A43+6&gt;=TODAY(),"Due Friday","⚠ Missing")))</f>
        <v/>
      </c>
    </row>
    <row r="44">
      <c r="A44" s="35" t="n">
        <v>46496</v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7" t="n"/>
      <c r="T44" s="37" t="n"/>
      <c r="U44" s="37" t="n"/>
      <c r="V44" s="38" t="n"/>
      <c r="W44" s="38" t="n"/>
      <c r="X44" s="38" t="n"/>
      <c r="Y44" s="39" t="n"/>
      <c r="Z44" s="11">
        <f>IF(A44&gt;TODAY(),"Upcoming",IF(Y44&lt;&gt;"","✓ Updated",IF(A44+6&gt;=TODAY(),"Due Friday","⚠ Missing")))</f>
        <v/>
      </c>
    </row>
    <row r="45">
      <c r="A45" s="35" t="n">
        <v>46503</v>
      </c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7" t="n"/>
      <c r="T45" s="37" t="n"/>
      <c r="U45" s="37" t="n"/>
      <c r="V45" s="38" t="n"/>
      <c r="W45" s="38" t="n"/>
      <c r="X45" s="38" t="n"/>
      <c r="Y45" s="39" t="n"/>
      <c r="Z45" s="11">
        <f>IF(A45&gt;TODAY(),"Upcoming",IF(Y45&lt;&gt;"","✓ Updated",IF(A45+6&gt;=TODAY(),"Due Friday","⚠ Missing")))</f>
        <v/>
      </c>
    </row>
    <row r="46">
      <c r="A46" s="35" t="n">
        <v>46510</v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7" t="n"/>
      <c r="T46" s="37" t="n"/>
      <c r="U46" s="37" t="n"/>
      <c r="V46" s="38" t="n"/>
      <c r="W46" s="38" t="n"/>
      <c r="X46" s="38" t="n"/>
      <c r="Y46" s="39" t="n"/>
      <c r="Z46" s="11">
        <f>IF(A46&gt;TODAY(),"Upcoming",IF(Y46&lt;&gt;"","✓ Updated",IF(A46+6&gt;=TODAY(),"Due Friday","⚠ Missing")))</f>
        <v/>
      </c>
    </row>
    <row r="47">
      <c r="A47" s="35" t="n">
        <v>46517</v>
      </c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7" t="n"/>
      <c r="T47" s="37" t="n"/>
      <c r="U47" s="37" t="n"/>
      <c r="V47" s="38" t="n"/>
      <c r="W47" s="38" t="n"/>
      <c r="X47" s="38" t="n"/>
      <c r="Y47" s="39" t="n"/>
      <c r="Z47" s="11">
        <f>IF(A47&gt;TODAY(),"Upcoming",IF(Y47&lt;&gt;"","✓ Updated",IF(A47+6&gt;=TODAY(),"Due Friday","⚠ Missing")))</f>
        <v/>
      </c>
    </row>
    <row r="48">
      <c r="A48" s="35" t="n">
        <v>46524</v>
      </c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7" t="n"/>
      <c r="T48" s="37" t="n"/>
      <c r="U48" s="37" t="n"/>
      <c r="V48" s="38" t="n"/>
      <c r="W48" s="38" t="n"/>
      <c r="X48" s="38" t="n"/>
      <c r="Y48" s="39" t="n"/>
      <c r="Z48" s="11">
        <f>IF(A48&gt;TODAY(),"Upcoming",IF(Y48&lt;&gt;"","✓ Updated",IF(A48+6&gt;=TODAY(),"Due Friday","⚠ Missing")))</f>
        <v/>
      </c>
    </row>
    <row r="49">
      <c r="A49" s="35" t="n">
        <v>46531</v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7" t="n"/>
      <c r="T49" s="37" t="n"/>
      <c r="U49" s="37" t="n"/>
      <c r="V49" s="38" t="n"/>
      <c r="W49" s="38" t="n"/>
      <c r="X49" s="38" t="n"/>
      <c r="Y49" s="39" t="n"/>
      <c r="Z49" s="11">
        <f>IF(A49&gt;TODAY(),"Upcoming",IF(Y49&lt;&gt;"","✓ Updated",IF(A49+6&gt;=TODAY(),"Due Friday","⚠ Missing")))</f>
        <v/>
      </c>
    </row>
    <row r="50">
      <c r="A50" s="35" t="n">
        <v>46538</v>
      </c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7" t="n"/>
      <c r="T50" s="37" t="n"/>
      <c r="U50" s="37" t="n"/>
      <c r="V50" s="38" t="n"/>
      <c r="W50" s="38" t="n"/>
      <c r="X50" s="38" t="n"/>
      <c r="Y50" s="39" t="n"/>
      <c r="Z50" s="11">
        <f>IF(A50&gt;TODAY(),"Upcoming",IF(Y50&lt;&gt;"","✓ Updated",IF(A50+6&gt;=TODAY(),"Due Friday","⚠ Missing")))</f>
        <v/>
      </c>
    </row>
    <row r="51">
      <c r="A51" s="35" t="n">
        <v>46545</v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7" t="n"/>
      <c r="T51" s="37" t="n"/>
      <c r="U51" s="37" t="n"/>
      <c r="V51" s="38" t="n"/>
      <c r="W51" s="38" t="n"/>
      <c r="X51" s="38" t="n"/>
      <c r="Y51" s="39" t="n"/>
      <c r="Z51" s="11">
        <f>IF(A51&gt;TODAY(),"Upcoming",IF(Y51&lt;&gt;"","✓ Updated",IF(A51+6&gt;=TODAY(),"Due Friday","⚠ Missing")))</f>
        <v/>
      </c>
    </row>
    <row r="52">
      <c r="A52" s="35" t="n">
        <v>46552</v>
      </c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7" t="n"/>
      <c r="T52" s="37" t="n"/>
      <c r="U52" s="37" t="n"/>
      <c r="V52" s="38" t="n"/>
      <c r="W52" s="38" t="n"/>
      <c r="X52" s="38" t="n"/>
      <c r="Y52" s="39" t="n"/>
      <c r="Z52" s="11">
        <f>IF(A52&gt;TODAY(),"Upcoming",IF(Y52&lt;&gt;"","✓ Updated",IF(A52+6&gt;=TODAY(),"Due Friday","⚠ Missing")))</f>
        <v/>
      </c>
    </row>
    <row r="53">
      <c r="A53" s="35" t="n">
        <v>46559</v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7" t="n"/>
      <c r="T53" s="37" t="n"/>
      <c r="U53" s="37" t="n"/>
      <c r="V53" s="38" t="n"/>
      <c r="W53" s="38" t="n"/>
      <c r="X53" s="38" t="n"/>
      <c r="Y53" s="39" t="n"/>
      <c r="Z53" s="11">
        <f>IF(A53&gt;TODAY(),"Upcoming",IF(Y53&lt;&gt;"","✓ Updated",IF(A53+6&gt;=TODAY(),"Due Friday","⚠ Missing")))</f>
        <v/>
      </c>
    </row>
    <row r="54">
      <c r="A54" s="35" t="n">
        <v>46566</v>
      </c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7" t="n"/>
      <c r="T54" s="37" t="n"/>
      <c r="U54" s="37" t="n"/>
      <c r="V54" s="38" t="n"/>
      <c r="W54" s="38" t="n"/>
      <c r="X54" s="38" t="n"/>
      <c r="Y54" s="39" t="n"/>
      <c r="Z54" s="11">
        <f>IF(A54&gt;TODAY(),"Upcoming",IF(Y54&lt;&gt;"","✓ Updated",IF(A54+6&gt;=TODAY(),"Due Friday","⚠ Missing")))</f>
        <v/>
      </c>
    </row>
    <row r="55">
      <c r="A55" s="35" t="n">
        <v>46573</v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7" t="n"/>
      <c r="T55" s="37" t="n"/>
      <c r="U55" s="37" t="n"/>
      <c r="V55" s="38" t="n"/>
      <c r="W55" s="38" t="n"/>
      <c r="X55" s="38" t="n"/>
      <c r="Y55" s="39" t="n"/>
      <c r="Z55" s="11">
        <f>IF(A55&gt;TODAY(),"Upcoming",IF(Y55&lt;&gt;"","✓ Updated",IF(A55+6&gt;=TODAY(),"Due Friday","⚠ Missing")))</f>
        <v/>
      </c>
    </row>
    <row r="56">
      <c r="A56" s="35" t="n">
        <v>46580</v>
      </c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7" t="n"/>
      <c r="T56" s="37" t="n"/>
      <c r="U56" s="37" t="n"/>
      <c r="V56" s="38" t="n"/>
      <c r="W56" s="38" t="n"/>
      <c r="X56" s="38" t="n"/>
      <c r="Y56" s="39" t="n"/>
      <c r="Z56" s="11">
        <f>IF(A56&gt;TODAY(),"Upcoming",IF(Y56&lt;&gt;"","✓ Updated",IF(A56+6&gt;=TODAY(),"Due Friday","⚠ Missing")))</f>
        <v/>
      </c>
    </row>
    <row r="57">
      <c r="A57" s="35" t="n">
        <v>46587</v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7" t="n"/>
      <c r="T57" s="37" t="n"/>
      <c r="U57" s="37" t="n"/>
      <c r="V57" s="38" t="n"/>
      <c r="W57" s="38" t="n"/>
      <c r="X57" s="38" t="n"/>
      <c r="Y57" s="39" t="n"/>
      <c r="Z57" s="11">
        <f>IF(A57&gt;TODAY(),"Upcoming",IF(Y57&lt;&gt;"","✓ Updated",IF(A57+6&gt;=TODAY(),"Due Friday","⚠ Missing")))</f>
        <v/>
      </c>
    </row>
    <row r="58">
      <c r="A58" s="35" t="n">
        <v>46594</v>
      </c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7" t="n"/>
      <c r="T58" s="37" t="n"/>
      <c r="U58" s="37" t="n"/>
      <c r="V58" s="38" t="n"/>
      <c r="W58" s="38" t="n"/>
      <c r="X58" s="38" t="n"/>
      <c r="Y58" s="39" t="n"/>
      <c r="Z58" s="11">
        <f>IF(A58&gt;TODAY(),"Upcoming",IF(Y58&lt;&gt;"","✓ Updated",IF(A58+6&gt;=TODAY(),"Due Friday","⚠ Missing")))</f>
        <v/>
      </c>
    </row>
    <row r="59">
      <c r="A59" s="35" t="n">
        <v>46601</v>
      </c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7" t="n"/>
      <c r="T59" s="37" t="n"/>
      <c r="U59" s="37" t="n"/>
      <c r="V59" s="38" t="n"/>
      <c r="W59" s="38" t="n"/>
      <c r="X59" s="38" t="n"/>
      <c r="Y59" s="39" t="n"/>
      <c r="Z59" s="11">
        <f>IF(A59&gt;TODAY(),"Upcoming",IF(Y59&lt;&gt;"","✓ Updated",IF(A59+6&gt;=TODAY(),"Due Friday","⚠ Missing")))</f>
        <v/>
      </c>
    </row>
    <row r="60">
      <c r="A60" s="35" t="n">
        <v>46608</v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7" t="n"/>
      <c r="T60" s="37" t="n"/>
      <c r="U60" s="37" t="n"/>
      <c r="V60" s="38" t="n"/>
      <c r="W60" s="38" t="n"/>
      <c r="X60" s="38" t="n"/>
      <c r="Y60" s="39" t="n"/>
      <c r="Z60" s="11">
        <f>IF(A60&gt;TODAY(),"Upcoming",IF(Y60&lt;&gt;"","✓ Updated",IF(A60+6&gt;=TODAY(),"Due Friday","⚠ Missing")))</f>
        <v/>
      </c>
    </row>
    <row r="61">
      <c r="A61" s="35" t="n">
        <v>46615</v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7" t="n"/>
      <c r="T61" s="37" t="n"/>
      <c r="U61" s="37" t="n"/>
      <c r="V61" s="38" t="n"/>
      <c r="W61" s="38" t="n"/>
      <c r="X61" s="38" t="n"/>
      <c r="Y61" s="39" t="n"/>
      <c r="Z61" s="11">
        <f>IF(A61&gt;TODAY(),"Upcoming",IF(Y61&lt;&gt;"","✓ Updated",IF(A61+6&gt;=TODAY(),"Due Friday","⚠ Missing")))</f>
        <v/>
      </c>
    </row>
    <row r="62">
      <c r="A62" s="35" t="n">
        <v>46622</v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7" t="n"/>
      <c r="T62" s="37" t="n"/>
      <c r="U62" s="37" t="n"/>
      <c r="V62" s="38" t="n"/>
      <c r="W62" s="38" t="n"/>
      <c r="X62" s="38" t="n"/>
      <c r="Y62" s="39" t="n"/>
      <c r="Z62" s="11">
        <f>IF(A62&gt;TODAY(),"Upcoming",IF(Y62&lt;&gt;"","✓ Updated",IF(A62+6&gt;=TODAY(),"Due Friday","⚠ Missing")))</f>
        <v/>
      </c>
    </row>
    <row r="63">
      <c r="A63" s="35" t="n">
        <v>46629</v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7" t="n"/>
      <c r="T63" s="37" t="n"/>
      <c r="U63" s="37" t="n"/>
      <c r="V63" s="38" t="n"/>
      <c r="W63" s="38" t="n"/>
      <c r="X63" s="38" t="n"/>
      <c r="Y63" s="39" t="n"/>
      <c r="Z63" s="11">
        <f>IF(A63&gt;TODAY(),"Upcoming",IF(Y63&lt;&gt;"","✓ Updated",IF(A63+6&gt;=TODAY(),"Due Friday","⚠ Missing")))</f>
        <v/>
      </c>
    </row>
    <row r="64">
      <c r="A64" s="35" t="n">
        <v>46636</v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7" t="n"/>
      <c r="T64" s="37" t="n"/>
      <c r="U64" s="37" t="n"/>
      <c r="V64" s="38" t="n"/>
      <c r="W64" s="38" t="n"/>
      <c r="X64" s="38" t="n"/>
      <c r="Y64" s="39" t="n"/>
      <c r="Z64" s="11">
        <f>IF(A64&gt;TODAY(),"Upcoming",IF(Y64&lt;&gt;"","✓ Updated",IF(A64+6&gt;=TODAY(),"Due Friday","⚠ Missing")))</f>
        <v/>
      </c>
    </row>
    <row r="65">
      <c r="A65" s="35" t="n">
        <v>46643</v>
      </c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7" t="n"/>
      <c r="T65" s="37" t="n"/>
      <c r="U65" s="37" t="n"/>
      <c r="V65" s="38" t="n"/>
      <c r="W65" s="38" t="n"/>
      <c r="X65" s="38" t="n"/>
      <c r="Y65" s="39" t="n"/>
      <c r="Z65" s="11">
        <f>IF(A65&gt;TODAY(),"Upcoming",IF(Y65&lt;&gt;"","✓ Updated",IF(A65+6&gt;=TODAY(),"Due Friday","⚠ Missing")))</f>
        <v/>
      </c>
    </row>
    <row r="66">
      <c r="A66" s="35" t="n">
        <v>46650</v>
      </c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7" t="n"/>
      <c r="T66" s="37" t="n"/>
      <c r="U66" s="37" t="n"/>
      <c r="V66" s="38" t="n"/>
      <c r="W66" s="38" t="n"/>
      <c r="X66" s="38" t="n"/>
      <c r="Y66" s="39" t="n"/>
      <c r="Z66" s="11">
        <f>IF(A66&gt;TODAY(),"Upcoming",IF(Y66&lt;&gt;"","✓ Updated",IF(A66+6&gt;=TODAY(),"Due Friday","⚠ Missing")))</f>
        <v/>
      </c>
    </row>
    <row r="67">
      <c r="A67" s="35" t="n">
        <v>46657</v>
      </c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7" t="n"/>
      <c r="T67" s="37" t="n"/>
      <c r="U67" s="37" t="n"/>
      <c r="V67" s="38" t="n"/>
      <c r="W67" s="38" t="n"/>
      <c r="X67" s="38" t="n"/>
      <c r="Y67" s="39" t="n"/>
      <c r="Z67" s="11">
        <f>IF(A67&gt;TODAY(),"Upcoming",IF(Y67&lt;&gt;"","✓ Updated",IF(A67+6&gt;=TODAY(),"Due Friday","⚠ Missing")))</f>
        <v/>
      </c>
    </row>
    <row r="68">
      <c r="A68" s="35" t="n">
        <v>46664</v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7" t="n"/>
      <c r="T68" s="37" t="n"/>
      <c r="U68" s="37" t="n"/>
      <c r="V68" s="38" t="n"/>
      <c r="W68" s="38" t="n"/>
      <c r="X68" s="38" t="n"/>
      <c r="Y68" s="39" t="n"/>
      <c r="Z68" s="11">
        <f>IF(A68&gt;TODAY(),"Upcoming",IF(Y68&lt;&gt;"","✓ Updated",IF(A68+6&gt;=TODAY(),"Due Friday","⚠ Missing")))</f>
        <v/>
      </c>
    </row>
    <row r="69">
      <c r="A69" s="35" t="n">
        <v>46671</v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7" t="n"/>
      <c r="T69" s="37" t="n"/>
      <c r="U69" s="37" t="n"/>
      <c r="V69" s="38" t="n"/>
      <c r="W69" s="38" t="n"/>
      <c r="X69" s="38" t="n"/>
      <c r="Y69" s="39" t="n"/>
      <c r="Z69" s="11">
        <f>IF(A69&gt;TODAY(),"Upcoming",IF(Y69&lt;&gt;"","✓ Updated",IF(A69+6&gt;=TODAY(),"Due Friday","⚠ Missing")))</f>
        <v/>
      </c>
    </row>
    <row r="70">
      <c r="A70" s="35" t="n">
        <v>46678</v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7" t="n"/>
      <c r="T70" s="37" t="n"/>
      <c r="U70" s="37" t="n"/>
      <c r="V70" s="38" t="n"/>
      <c r="W70" s="38" t="n"/>
      <c r="X70" s="38" t="n"/>
      <c r="Y70" s="39" t="n"/>
      <c r="Z70" s="11">
        <f>IF(A70&gt;TODAY(),"Upcoming",IF(Y70&lt;&gt;"","✓ Updated",IF(A70+6&gt;=TODAY(),"Due Friday","⚠ Missing")))</f>
        <v/>
      </c>
    </row>
    <row r="71">
      <c r="A71" s="35" t="n">
        <v>46685</v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7" t="n"/>
      <c r="T71" s="37" t="n"/>
      <c r="U71" s="37" t="n"/>
      <c r="V71" s="38" t="n"/>
      <c r="W71" s="38" t="n"/>
      <c r="X71" s="38" t="n"/>
      <c r="Y71" s="39" t="n"/>
      <c r="Z71" s="11">
        <f>IF(A71&gt;TODAY(),"Upcoming",IF(Y71&lt;&gt;"","✓ Updated",IF(A71+6&gt;=TODAY(),"Due Friday","⚠ Missing")))</f>
        <v/>
      </c>
    </row>
    <row r="72">
      <c r="A72" s="35" t="n">
        <v>46692</v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7" t="n"/>
      <c r="T72" s="37" t="n"/>
      <c r="U72" s="37" t="n"/>
      <c r="V72" s="38" t="n"/>
      <c r="W72" s="38" t="n"/>
      <c r="X72" s="38" t="n"/>
      <c r="Y72" s="39" t="n"/>
      <c r="Z72" s="11">
        <f>IF(A72&gt;TODAY(),"Upcoming",IF(Y72&lt;&gt;"","✓ Updated",IF(A72+6&gt;=TODAY(),"Due Friday","⚠ Missing")))</f>
        <v/>
      </c>
    </row>
    <row r="73">
      <c r="A73" s="35" t="n">
        <v>46699</v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7" t="n"/>
      <c r="T73" s="37" t="n"/>
      <c r="U73" s="37" t="n"/>
      <c r="V73" s="38" t="n"/>
      <c r="W73" s="38" t="n"/>
      <c r="X73" s="38" t="n"/>
      <c r="Y73" s="39" t="n"/>
      <c r="Z73" s="11">
        <f>IF(A73&gt;TODAY(),"Upcoming",IF(Y73&lt;&gt;"","✓ Updated",IF(A73+6&gt;=TODAY(),"Due Friday","⚠ Missing")))</f>
        <v/>
      </c>
    </row>
    <row r="74">
      <c r="A74" s="35" t="n">
        <v>46706</v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7" t="n"/>
      <c r="T74" s="37" t="n"/>
      <c r="U74" s="37" t="n"/>
      <c r="V74" s="38" t="n"/>
      <c r="W74" s="38" t="n"/>
      <c r="X74" s="38" t="n"/>
      <c r="Y74" s="39" t="n"/>
      <c r="Z74" s="11">
        <f>IF(A74&gt;TODAY(),"Upcoming",IF(Y74&lt;&gt;"","✓ Updated",IF(A74+6&gt;=TODAY(),"Due Friday","⚠ Missing")))</f>
        <v/>
      </c>
    </row>
    <row r="75">
      <c r="A75" s="35" t="n">
        <v>46713</v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7" t="n"/>
      <c r="T75" s="37" t="n"/>
      <c r="U75" s="37" t="n"/>
      <c r="V75" s="38" t="n"/>
      <c r="W75" s="38" t="n"/>
      <c r="X75" s="38" t="n"/>
      <c r="Y75" s="39" t="n"/>
      <c r="Z75" s="11">
        <f>IF(A75&gt;TODAY(),"Upcoming",IF(Y75&lt;&gt;"","✓ Updated",IF(A75+6&gt;=TODAY(),"Due Friday","⚠ Missing")))</f>
        <v/>
      </c>
    </row>
    <row r="76">
      <c r="A76" s="35" t="n">
        <v>46720</v>
      </c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7" t="n"/>
      <c r="T76" s="37" t="n"/>
      <c r="U76" s="37" t="n"/>
      <c r="V76" s="38" t="n"/>
      <c r="W76" s="38" t="n"/>
      <c r="X76" s="38" t="n"/>
      <c r="Y76" s="39" t="n"/>
      <c r="Z76" s="11">
        <f>IF(A76&gt;TODAY(),"Upcoming",IF(Y76&lt;&gt;"","✓ Updated",IF(A76+6&gt;=TODAY(),"Due Friday","⚠ Missing")))</f>
        <v/>
      </c>
    </row>
    <row r="77">
      <c r="A77" s="35" t="n">
        <v>46727</v>
      </c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7" t="n"/>
      <c r="T77" s="37" t="n"/>
      <c r="U77" s="37" t="n"/>
      <c r="V77" s="38" t="n"/>
      <c r="W77" s="38" t="n"/>
      <c r="X77" s="38" t="n"/>
      <c r="Y77" s="39" t="n"/>
      <c r="Z77" s="11">
        <f>IF(A77&gt;TODAY(),"Upcoming",IF(Y77&lt;&gt;"","✓ Updated",IF(A77+6&gt;=TODAY(),"Due Friday","⚠ Missing")))</f>
        <v/>
      </c>
    </row>
    <row r="78">
      <c r="A78" s="35" t="n">
        <v>46734</v>
      </c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7" t="n"/>
      <c r="T78" s="37" t="n"/>
      <c r="U78" s="37" t="n"/>
      <c r="V78" s="38" t="n"/>
      <c r="W78" s="38" t="n"/>
      <c r="X78" s="38" t="n"/>
      <c r="Y78" s="39" t="n"/>
      <c r="Z78" s="11">
        <f>IF(A78&gt;TODAY(),"Upcoming",IF(Y78&lt;&gt;"","✓ Updated",IF(A78+6&gt;=TODAY(),"Due Friday","⚠ Missing")))</f>
        <v/>
      </c>
    </row>
    <row r="79">
      <c r="A79" s="35" t="n">
        <v>46741</v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7" t="n"/>
      <c r="T79" s="37" t="n"/>
      <c r="U79" s="37" t="n"/>
      <c r="V79" s="38" t="n"/>
      <c r="W79" s="38" t="n"/>
      <c r="X79" s="38" t="n"/>
      <c r="Y79" s="39" t="n"/>
      <c r="Z79" s="11">
        <f>IF(A79&gt;TODAY(),"Upcoming",IF(Y79&lt;&gt;"","✓ Updated",IF(A79+6&gt;=TODAY(),"Due Friday","⚠ Missing")))</f>
        <v/>
      </c>
    </row>
    <row r="80">
      <c r="A80" s="35" t="n">
        <v>46748</v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7" t="n"/>
      <c r="T80" s="37" t="n"/>
      <c r="U80" s="37" t="n"/>
      <c r="V80" s="38" t="n"/>
      <c r="W80" s="38" t="n"/>
      <c r="X80" s="38" t="n"/>
      <c r="Y80" s="39" t="n"/>
      <c r="Z80" s="11">
        <f>IF(A80&gt;TODAY(),"Upcoming",IF(Y80&lt;&gt;"","✓ Updated",IF(A80+6&gt;=TODAY(),"Due Friday","⚠ Missing")))</f>
        <v/>
      </c>
    </row>
  </sheetData>
  <mergeCells count="18">
    <mergeCell ref="H6:J6"/>
    <mergeCell ref="H10:J10"/>
    <mergeCell ref="A7:B7"/>
    <mergeCell ref="A1:Z1"/>
    <mergeCell ref="A11:B11"/>
    <mergeCell ref="H5:J5"/>
    <mergeCell ref="A10:B10"/>
    <mergeCell ref="A5:B5"/>
    <mergeCell ref="H8:J8"/>
    <mergeCell ref="H9:J9"/>
    <mergeCell ref="A4:F4"/>
    <mergeCell ref="A2:Z2"/>
    <mergeCell ref="A9:B9"/>
    <mergeCell ref="A8:B8"/>
    <mergeCell ref="H11:J11"/>
    <mergeCell ref="A6:B6"/>
    <mergeCell ref="H7:J7"/>
    <mergeCell ref="A12:B12"/>
  </mergeCells>
  <conditionalFormatting sqref="F6:F12">
    <cfRule type="cellIs" priority="1" operator="equal" dxfId="3">
      <formula>"On pace"</formula>
    </cfRule>
    <cfRule type="cellIs" priority="2" operator="equal" dxfId="4">
      <formula>"Behind"</formula>
    </cfRule>
  </conditionalFormatting>
  <conditionalFormatting sqref="Z15:Z80">
    <cfRule type="cellIs" priority="3" operator="equal" dxfId="0">
      <formula>"⚠ Missing"</formula>
    </cfRule>
    <cfRule type="cellIs" priority="4" operator="equal" dxfId="1">
      <formula>"✓ Updated"</formula>
    </cfRule>
    <cfRule type="cellIs" priority="5" operator="equal" dxfId="5">
      <formula>"Due Friday"</formula>
    </cfRule>
  </conditionalFormatting>
  <conditionalFormatting sqref="A15:X80">
    <cfRule type="expression" priority="6" dxfId="6">
      <formula>AND($A15&lt;=TODAY(),$A15+6&gt;=TODAY())</formula>
    </cfRule>
  </conditionalFormatting>
  <dataValidations count="1">
    <dataValidation sqref="B15:U80" showDropDown="0" showInputMessage="0" showErrorMessage="1" allowBlank="1" errorTitle="Numbers only" error="Please enter a number (0 or more)." type="decimal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9A227"/>
    <outlinePr summaryBelow="1" summaryRight="1"/>
    <pageSetUpPr/>
  </sheetPr>
  <dimension ref="A1:F3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22" customWidth="1" min="3" max="3"/>
    <col width="22" customWidth="1" min="4" max="4"/>
    <col width="22" customWidth="1" min="5" max="5"/>
    <col hidden="1" width="13" customWidth="1" min="6" max="6"/>
  </cols>
  <sheetData>
    <row r="1" ht="34" customHeight="1">
      <c r="A1" s="1">
        <f>IF('Settings'!B18="","Agent 5",'Settings'!B18)&amp;" — Business Development &amp; Growth Assessment"</f>
        <v/>
      </c>
    </row>
    <row r="2" ht="44" customHeight="1">
      <c r="A2" s="5" t="inlineStr">
        <is>
          <t>THE PRAEDIUM GROUP  •  This assessment helps us understand where you are today, where your time is going, and what training, structure, or support could help you grow. There are no “right” answers — answer based on what your business actually looks like today. Estimates are completely acceptable. Yellow cells are yours to fill in.</t>
        </is>
      </c>
    </row>
    <row r="3">
      <c r="B3" s="40" t="inlineStr">
        <is>
          <t>Completion:</t>
        </is>
      </c>
      <c r="C3" s="41">
        <f>IFERROR(SUMPRODUCT((F5:F400=1)*(C5:C400&lt;&gt;""))/SUM(F5:F400),0)</f>
        <v/>
      </c>
    </row>
    <row r="5" ht="24" customHeight="1">
      <c r="A5" s="42" t="inlineStr">
        <is>
          <t>1. ABOUT YOUR BUSINESS TODAY</t>
        </is>
      </c>
    </row>
    <row r="6">
      <c r="B6" s="43" t="inlineStr">
        <is>
          <t>Market Center / KW Office</t>
        </is>
      </c>
      <c r="C6" s="44" t="n"/>
      <c r="D6" s="28" t="n"/>
      <c r="E6" s="28" t="n"/>
      <c r="F6" t="n">
        <v>1</v>
      </c>
    </row>
    <row r="7">
      <c r="B7" s="43" t="inlineStr">
        <is>
          <t>How long have you been licensed in real estate?</t>
        </is>
      </c>
      <c r="C7" s="44" t="n"/>
      <c r="D7" s="28" t="n"/>
      <c r="E7" s="28" t="n"/>
      <c r="F7" t="n">
        <v>1</v>
      </c>
    </row>
    <row r="8">
      <c r="B8" s="43" t="inlineStr">
        <is>
          <t>How long have you actively worked in commercial real estate?</t>
        </is>
      </c>
      <c r="C8" s="44" t="n"/>
      <c r="D8" s="28" t="n"/>
      <c r="E8" s="28" t="n"/>
      <c r="F8" t="n">
        <v>1</v>
      </c>
    </row>
    <row r="9">
      <c r="B9" s="43" t="inlineStr">
        <is>
          <t>How would you describe your current real estate business?</t>
        </is>
      </c>
      <c r="C9" s="44" t="n"/>
      <c r="D9" s="28" t="n"/>
      <c r="E9" s="28" t="n"/>
      <c r="F9" t="n">
        <v>1</v>
      </c>
    </row>
    <row r="10" ht="48" customHeight="1">
      <c r="B10" s="43" t="inlineStr">
        <is>
          <t>If you selected Other, please explain:</t>
        </is>
      </c>
      <c r="C10" s="44" t="n"/>
      <c r="D10" s="28" t="n"/>
      <c r="E10" s="28" t="n"/>
      <c r="F10" t="n">
        <v>1</v>
      </c>
    </row>
    <row r="11">
      <c r="B11" s="43" t="inlineStr">
        <is>
          <t>Is real estate currently your primary occupation?</t>
        </is>
      </c>
      <c r="C11" s="44" t="n"/>
      <c r="D11" s="28" t="n"/>
      <c r="E11" s="28" t="n"/>
      <c r="F11" t="n">
        <v>1</v>
      </c>
    </row>
    <row r="12" ht="48" customHeight="1">
      <c r="B12" s="43" t="inlineStr">
        <is>
          <t>If not, what other work or major commitments currently compete for your time?</t>
        </is>
      </c>
      <c r="C12" s="44" t="n"/>
      <c r="D12" s="28" t="n"/>
      <c r="E12" s="28" t="n"/>
      <c r="F12" t="n">
        <v>1</v>
      </c>
    </row>
    <row r="14" ht="24" customHeight="1">
      <c r="A14" s="42" t="inlineStr">
        <is>
          <t>2. YOUR CURRENT WORK WEEK</t>
        </is>
      </c>
    </row>
    <row r="15" ht="28" customHeight="1">
      <c r="A15" s="45" t="inlineStr">
        <is>
          <t>We want to understand what your schedule actually looks like today.</t>
        </is>
      </c>
    </row>
    <row r="16">
      <c r="B16" s="43" t="inlineStr">
        <is>
          <t>On average, how many days per week do you currently spend working on real estate?</t>
        </is>
      </c>
      <c r="C16" s="44" t="n"/>
      <c r="D16" s="28" t="n"/>
      <c r="E16" s="28" t="n"/>
      <c r="F16" t="n">
        <v>1</v>
      </c>
    </row>
    <row r="17">
      <c r="B17" s="43" t="inlineStr">
        <is>
          <t>How many hours do you work on real estate during a typical day?</t>
        </is>
      </c>
      <c r="C17" s="44" t="n"/>
      <c r="D17" s="28" t="n"/>
      <c r="E17" s="28" t="n"/>
      <c r="F17" t="n">
        <v>1</v>
      </c>
    </row>
    <row r="18">
      <c r="B18" s="43" t="inlineStr">
        <is>
          <t>What time do you normally begin your workday?</t>
        </is>
      </c>
      <c r="C18" s="44" t="n"/>
      <c r="D18" s="28" t="n"/>
      <c r="E18" s="28" t="n"/>
      <c r="F18" t="n">
        <v>1</v>
      </c>
    </row>
    <row r="19">
      <c r="B19" s="43" t="inlineStr">
        <is>
          <t>What time do you normally finish your workday?</t>
        </is>
      </c>
      <c r="C19" s="44" t="n"/>
      <c r="D19" s="28" t="n"/>
      <c r="E19" s="28" t="n"/>
      <c r="F19" t="n">
        <v>1</v>
      </c>
    </row>
    <row r="20">
      <c r="B20" s="43" t="inlineStr">
        <is>
          <t>Is your schedule generally consistent from day to day?</t>
        </is>
      </c>
      <c r="C20" s="44" t="n"/>
      <c r="D20" s="28" t="n"/>
      <c r="E20" s="28" t="n"/>
      <c r="F20" t="n">
        <v>1</v>
      </c>
    </row>
    <row r="22">
      <c r="B22" s="46" t="inlineStr">
        <is>
          <t>Day</t>
        </is>
      </c>
      <c r="C22" s="46" t="inlineStr">
        <is>
          <t>Usually Work?</t>
        </is>
      </c>
      <c r="D22" s="46" t="inlineStr">
        <is>
          <t>Approx. Hours</t>
        </is>
      </c>
    </row>
    <row r="23">
      <c r="B23" s="47" t="inlineStr">
        <is>
          <t>Monday</t>
        </is>
      </c>
      <c r="C23" s="36" t="n"/>
      <c r="D23" s="36" t="n"/>
      <c r="F23" t="n">
        <v>1</v>
      </c>
    </row>
    <row r="24">
      <c r="B24" s="47" t="inlineStr">
        <is>
          <t>Tuesday</t>
        </is>
      </c>
      <c r="C24" s="36" t="n"/>
      <c r="D24" s="36" t="n"/>
      <c r="F24" t="n">
        <v>1</v>
      </c>
    </row>
    <row r="25">
      <c r="B25" s="47" t="inlineStr">
        <is>
          <t>Wednesday</t>
        </is>
      </c>
      <c r="C25" s="36" t="n"/>
      <c r="D25" s="36" t="n"/>
      <c r="F25" t="n">
        <v>1</v>
      </c>
    </row>
    <row r="26">
      <c r="B26" s="47" t="inlineStr">
        <is>
          <t>Thursday</t>
        </is>
      </c>
      <c r="C26" s="36" t="n"/>
      <c r="D26" s="36" t="n"/>
      <c r="F26" t="n">
        <v>1</v>
      </c>
    </row>
    <row r="27">
      <c r="B27" s="47" t="inlineStr">
        <is>
          <t>Friday</t>
        </is>
      </c>
      <c r="C27" s="36" t="n"/>
      <c r="D27" s="36" t="n"/>
      <c r="F27" t="n">
        <v>1</v>
      </c>
    </row>
    <row r="28">
      <c r="B28" s="47" t="inlineStr">
        <is>
          <t>Saturday</t>
        </is>
      </c>
      <c r="C28" s="36" t="n"/>
      <c r="D28" s="36" t="n"/>
      <c r="F28" t="n">
        <v>1</v>
      </c>
    </row>
    <row r="29">
      <c r="B29" s="47" t="inlineStr">
        <is>
          <t>Sunday</t>
        </is>
      </c>
      <c r="C29" s="36" t="n"/>
      <c r="D29" s="36" t="n"/>
      <c r="F29" t="n">
        <v>1</v>
      </c>
    </row>
    <row r="31">
      <c r="B31" s="48" t="inlineStr">
        <is>
          <t>How is your typical real estate week divided?</t>
        </is>
      </c>
    </row>
    <row r="32">
      <c r="B32" s="46" t="inlineStr">
        <is>
          <t>Area</t>
        </is>
      </c>
      <c r="C32" s="46" t="inlineStr">
        <is>
          <t>Hours / Week</t>
        </is>
      </c>
    </row>
    <row r="33">
      <c r="B33" s="47" t="inlineStr">
        <is>
          <t>Commercial Real Estate</t>
        </is>
      </c>
      <c r="C33" s="36" t="n"/>
      <c r="F33" t="n">
        <v>1</v>
      </c>
    </row>
    <row r="34">
      <c r="B34" s="47" t="inlineStr">
        <is>
          <t>Residential Real Estate</t>
        </is>
      </c>
      <c r="C34" s="36" t="n"/>
      <c r="F34" t="n">
        <v>1</v>
      </c>
    </row>
    <row r="35">
      <c r="B35" s="47" t="inlineStr">
        <is>
          <t>Administrative / Business Operations</t>
        </is>
      </c>
      <c r="C35" s="36" t="n"/>
      <c r="F35" t="n">
        <v>1</v>
      </c>
    </row>
    <row r="36">
      <c r="B36" s="47" t="inlineStr">
        <is>
          <t>Other</t>
        </is>
      </c>
      <c r="C36" s="36" t="n"/>
      <c r="F36" t="n">
        <v>1</v>
      </c>
    </row>
    <row r="37">
      <c r="B37" s="49" t="inlineStr">
        <is>
          <t>TOTAL</t>
        </is>
      </c>
      <c r="C37" s="50">
        <f>SUM(C33:C36)</f>
        <v/>
      </c>
    </row>
    <row r="38" ht="48" customHeight="1">
      <c r="B38" s="43" t="inlineStr">
        <is>
          <t>If Other, what does that time consist of?</t>
        </is>
      </c>
      <c r="C38" s="44" t="n"/>
      <c r="D38" s="28" t="n"/>
      <c r="E38" s="28" t="n"/>
      <c r="F38" t="n">
        <v>1</v>
      </c>
    </row>
    <row r="40" ht="24" customHeight="1">
      <c r="A40" s="42" t="inlineStr">
        <is>
          <t>3. WHERE DOES YOUR TIME ACTUALLY GO?</t>
        </is>
      </c>
    </row>
    <row r="41" ht="28" customHeight="1">
      <c r="A41" s="45" t="inlineStr">
        <is>
          <t>You do not need to track every minute. Think about a typical week and make your best estimate. Use this guide if you are unsure how to categorize something.</t>
        </is>
      </c>
    </row>
    <row r="42">
      <c r="B42" s="51" t="inlineStr">
        <is>
          <t>Category</t>
        </is>
      </c>
      <c r="C42" s="51" t="inlineStr">
        <is>
          <t>Examples</t>
        </is>
      </c>
    </row>
    <row r="43" ht="26" customHeight="1">
      <c r="B43" s="3" t="inlineStr">
        <is>
          <t>Prospecting / Business Development</t>
        </is>
      </c>
      <c r="C43" s="52" t="inlineStr">
        <is>
          <t>Cold calling, owner outreach, tenant outreach, email campaigns, canvassing, prospect research</t>
        </is>
      </c>
    </row>
    <row r="44" ht="26" customHeight="1">
      <c r="B44" s="3" t="inlineStr">
        <is>
          <t>Client / Deal Work</t>
        </is>
      </c>
      <c r="C44" s="52" t="inlineStr">
        <is>
          <t>Tours, client meetings, LOIs, contracts, negotiations, due diligence, inspections, closing coordination</t>
        </is>
      </c>
    </row>
    <row r="45" ht="26" customHeight="1">
      <c r="B45" s="3" t="inlineStr">
        <is>
          <t>Market Research</t>
        </is>
      </c>
      <c r="C45" s="52" t="inlineStr">
        <is>
          <t>Crexi, CoStar, GIS, Land id, researching ownership, comps, zoning, demographics</t>
        </is>
      </c>
    </row>
    <row r="46" ht="26" customHeight="1">
      <c r="B46" s="3" t="inlineStr">
        <is>
          <t>Follow-Up / CRM</t>
        </is>
      </c>
      <c r="C46" s="52" t="inlineStr">
        <is>
          <t>Returning calls, email follow-up, CRM updates, maintaining prospect lists</t>
        </is>
      </c>
    </row>
    <row r="47" ht="26" customHeight="1">
      <c r="B47" s="3" t="inlineStr">
        <is>
          <t>Networking / Sphere</t>
        </is>
      </c>
      <c r="C47" s="52" t="inlineStr">
        <is>
          <t>KW agents, attorneys, lenders, CPAs, developers, business owners, networking events</t>
        </is>
      </c>
    </row>
    <row r="48" ht="26" customHeight="1">
      <c r="B48" s="3" t="inlineStr">
        <is>
          <t>Marketing</t>
        </is>
      </c>
      <c r="C48" s="52" t="inlineStr">
        <is>
          <t>Social media, property marketing, flyers, listing materials, content creation</t>
        </is>
      </c>
    </row>
    <row r="49" ht="26" customHeight="1">
      <c r="B49" s="3" t="inlineStr">
        <is>
          <t>Residential</t>
        </is>
      </c>
      <c r="C49" s="52" t="inlineStr">
        <is>
          <t>Residential prospecting, showings, listings, buyers, contracts, closings</t>
        </is>
      </c>
    </row>
    <row r="50" ht="26" customHeight="1">
      <c r="B50" s="3" t="inlineStr">
        <is>
          <t>Administrative</t>
        </is>
      </c>
      <c r="C50" s="52" t="inlineStr">
        <is>
          <t>Paperwork, scheduling, expense tracking, file organization, general admin</t>
        </is>
      </c>
    </row>
    <row r="51" ht="26" customHeight="1">
      <c r="B51" s="3" t="inlineStr">
        <is>
          <t>Training / Development</t>
        </is>
      </c>
      <c r="C51" s="52" t="inlineStr">
        <is>
          <t>Courses, meetings, CRE training, technology training, role-playing</t>
        </is>
      </c>
    </row>
    <row r="52" ht="26" customHeight="1">
      <c r="B52" s="3" t="inlineStr">
        <is>
          <t>Other</t>
        </is>
      </c>
      <c r="C52" s="52" t="inlineStr">
        <is>
          <t>Anything that does not reasonably fit above</t>
        </is>
      </c>
    </row>
    <row r="54">
      <c r="B54" s="46" t="inlineStr">
        <is>
          <t>Activity</t>
        </is>
      </c>
      <c r="C54" s="46" t="inlineStr">
        <is>
          <t>Approx. Hours / Week</t>
        </is>
      </c>
      <c r="D54" s="46" t="inlineStr">
        <is>
          <t>% of Real Estate Time</t>
        </is>
      </c>
    </row>
    <row r="55">
      <c r="B55" s="47" t="inlineStr">
        <is>
          <t>Commercial Prospecting / Business Development</t>
        </is>
      </c>
      <c r="C55" s="36" t="n"/>
      <c r="D55" s="53">
        <f>IFERROR(C55/SUM(C$55:C$64),"")</f>
        <v/>
      </c>
      <c r="F55" t="n">
        <v>1</v>
      </c>
    </row>
    <row r="56">
      <c r="B56" s="47" t="inlineStr">
        <is>
          <t>Commercial Client &amp; Deal Work</t>
        </is>
      </c>
      <c r="C56" s="36" t="n"/>
      <c r="D56" s="53">
        <f>IFERROR(C56/SUM(C$55:C$64),"")</f>
        <v/>
      </c>
      <c r="F56" t="n">
        <v>1</v>
      </c>
    </row>
    <row r="57">
      <c r="B57" s="47" t="inlineStr">
        <is>
          <t>Commercial Market Research</t>
        </is>
      </c>
      <c r="C57" s="36" t="n"/>
      <c r="D57" s="53">
        <f>IFERROR(C57/SUM(C$55:C$64),"")</f>
        <v/>
      </c>
      <c r="F57" t="n">
        <v>1</v>
      </c>
    </row>
    <row r="58">
      <c r="B58" s="47" t="inlineStr">
        <is>
          <t>Follow-Up / CRM</t>
        </is>
      </c>
      <c r="C58" s="36" t="n"/>
      <c r="D58" s="53">
        <f>IFERROR(C58/SUM(C$55:C$64),"")</f>
        <v/>
      </c>
      <c r="F58" t="n">
        <v>1</v>
      </c>
    </row>
    <row r="59">
      <c r="B59" s="47" t="inlineStr">
        <is>
          <t>Networking / Sphere Development</t>
        </is>
      </c>
      <c r="C59" s="36" t="n"/>
      <c r="D59" s="53">
        <f>IFERROR(C59/SUM(C$55:C$64),"")</f>
        <v/>
      </c>
      <c r="F59" t="n">
        <v>1</v>
      </c>
    </row>
    <row r="60">
      <c r="B60" s="47" t="inlineStr">
        <is>
          <t>Marketing / Content</t>
        </is>
      </c>
      <c r="C60" s="36" t="n"/>
      <c r="D60" s="53">
        <f>IFERROR(C60/SUM(C$55:C$64),"")</f>
        <v/>
      </c>
      <c r="F60" t="n">
        <v>1</v>
      </c>
    </row>
    <row r="61">
      <c r="B61" s="47" t="inlineStr">
        <is>
          <t>Residential Business</t>
        </is>
      </c>
      <c r="C61" s="36" t="n"/>
      <c r="D61" s="53">
        <f>IFERROR(C61/SUM(C$55:C$64),"")</f>
        <v/>
      </c>
      <c r="F61" t="n">
        <v>1</v>
      </c>
    </row>
    <row r="62">
      <c r="B62" s="47" t="inlineStr">
        <is>
          <t>Administrative Work</t>
        </is>
      </c>
      <c r="C62" s="36" t="n"/>
      <c r="D62" s="53">
        <f>IFERROR(C62/SUM(C$55:C$64),"")</f>
        <v/>
      </c>
      <c r="F62" t="n">
        <v>1</v>
      </c>
    </row>
    <row r="63">
      <c r="B63" s="47" t="inlineStr">
        <is>
          <t>Training / Professional Development</t>
        </is>
      </c>
      <c r="C63" s="36" t="n"/>
      <c r="D63" s="53">
        <f>IFERROR(C63/SUM(C$55:C$64),"")</f>
        <v/>
      </c>
      <c r="F63" t="n">
        <v>1</v>
      </c>
    </row>
    <row r="64">
      <c r="B64" s="47" t="inlineStr">
        <is>
          <t>Other</t>
        </is>
      </c>
      <c r="C64" s="36" t="n"/>
      <c r="D64" s="53">
        <f>IFERROR(C64/SUM(C$55:C$64),"")</f>
        <v/>
      </c>
      <c r="F64" t="n">
        <v>1</v>
      </c>
    </row>
    <row r="65">
      <c r="B65" s="49" t="inlineStr">
        <is>
          <t>TOTAL</t>
        </is>
      </c>
      <c r="C65" s="50">
        <f>SUM(C55:C64)</f>
        <v/>
      </c>
      <c r="D65" s="54">
        <f>IFERROR(SUM(D55:D64),"")</f>
        <v/>
      </c>
    </row>
    <row r="66" ht="48" customHeight="1">
      <c r="B66" s="43" t="inlineStr">
        <is>
          <t>If you listed time under Other, please explain:</t>
        </is>
      </c>
      <c r="C66" s="44" t="n"/>
      <c r="D66" s="28" t="n"/>
      <c r="E66" s="28" t="n"/>
      <c r="F66" t="n">
        <v>1</v>
      </c>
    </row>
    <row r="67" ht="48" customHeight="1">
      <c r="B67" s="43" t="inlineStr">
        <is>
          <t>Which activities take up the MOST time in your week?</t>
        </is>
      </c>
      <c r="C67" s="44" t="n"/>
      <c r="D67" s="28" t="n"/>
      <c r="E67" s="28" t="n"/>
      <c r="F67" t="n">
        <v>1</v>
      </c>
    </row>
    <row r="68" ht="48" customHeight="1">
      <c r="B68" s="43" t="inlineStr">
        <is>
          <t>Which activities are currently producing the MOST business for you?</t>
        </is>
      </c>
      <c r="C68" s="44" t="n"/>
      <c r="D68" s="28" t="n"/>
      <c r="E68" s="28" t="n"/>
      <c r="F68" t="n">
        <v>1</v>
      </c>
    </row>
    <row r="69" ht="48" customHeight="1">
      <c r="B69" s="43" t="inlineStr">
        <is>
          <t>What do you feel you are spending too much time doing?</t>
        </is>
      </c>
      <c r="C69" s="44" t="n"/>
      <c r="D69" s="28" t="n"/>
      <c r="E69" s="28" t="n"/>
      <c r="F69" t="n">
        <v>1</v>
      </c>
    </row>
    <row r="70" ht="48" customHeight="1">
      <c r="B70" s="43" t="inlineStr">
        <is>
          <t>What do you feel you are not spending enough time doing?</t>
        </is>
      </c>
      <c r="C70" s="44" t="n"/>
      <c r="D70" s="28" t="n"/>
      <c r="E70" s="28" t="n"/>
      <c r="F70" t="n">
        <v>1</v>
      </c>
    </row>
    <row r="72" ht="24" customHeight="1">
      <c r="A72" s="42" t="inlineStr">
        <is>
          <t>4. HOW DO YOU STRUCTURE YOUR DAY?</t>
        </is>
      </c>
    </row>
    <row r="73">
      <c r="B73" s="43" t="inlineStr">
        <is>
          <t>Do you currently plan your workday in advance?</t>
        </is>
      </c>
      <c r="C73" s="44" t="n"/>
      <c r="D73" s="28" t="n"/>
      <c r="E73" s="28" t="n"/>
      <c r="F73" t="n">
        <v>1</v>
      </c>
    </row>
    <row r="74">
      <c r="B74" s="43" t="inlineStr">
        <is>
          <t>Do you currently use time blocks for specific activities?</t>
        </is>
      </c>
      <c r="C74" s="44" t="n"/>
      <c r="D74" s="28" t="n"/>
      <c r="E74" s="28" t="n"/>
      <c r="F74" t="n">
        <v>1</v>
      </c>
    </row>
    <row r="75">
      <c r="B75" s="43" t="inlineStr">
        <is>
          <t>Do you have a dedicated prospecting period during your day?</t>
        </is>
      </c>
      <c r="C75" s="44" t="n"/>
      <c r="D75" s="28" t="n"/>
      <c r="E75" s="28" t="n"/>
      <c r="F75" t="n">
        <v>1</v>
      </c>
    </row>
    <row r="76">
      <c r="B76" s="43" t="inlineStr">
        <is>
          <t>If yes — typical prospecting time (e.g. 9:00–11:00 AM):</t>
        </is>
      </c>
      <c r="C76" s="44" t="n"/>
      <c r="D76" s="28" t="n"/>
      <c r="E76" s="28" t="n"/>
      <c r="F76" t="n">
        <v>1</v>
      </c>
    </row>
    <row r="77">
      <c r="B77" s="43" t="inlineStr">
        <is>
          <t>If yes — typical length:</t>
        </is>
      </c>
      <c r="C77" s="44" t="n"/>
      <c r="D77" s="28" t="n"/>
      <c r="E77" s="28" t="n"/>
      <c r="F77" t="n">
        <v>1</v>
      </c>
    </row>
    <row r="78" ht="48" customHeight="1">
      <c r="B78" s="43" t="inlineStr">
        <is>
          <t>When do you feel you are most productive during the day?</t>
        </is>
      </c>
      <c r="C78" s="44" t="n"/>
      <c r="D78" s="28" t="n"/>
      <c r="E78" s="28" t="n"/>
      <c r="F78" t="n">
        <v>1</v>
      </c>
    </row>
    <row r="79" ht="48" customHeight="1">
      <c r="B79" s="43" t="inlineStr">
        <is>
          <t>What normally causes your schedule to get off track?</t>
        </is>
      </c>
      <c r="C79" s="44" t="n"/>
      <c r="D79" s="28" t="n"/>
      <c r="E79" s="28" t="n"/>
      <c r="F79" t="n">
        <v>1</v>
      </c>
    </row>
    <row r="80" ht="48" customHeight="1">
      <c r="B80" s="43" t="inlineStr">
        <is>
          <t>What is the first business-producing activity you normally do each day?</t>
        </is>
      </c>
      <c r="C80" s="44" t="n"/>
      <c r="D80" s="28" t="n"/>
      <c r="E80" s="28" t="n"/>
      <c r="F80" t="n">
        <v>1</v>
      </c>
    </row>
    <row r="81" ht="48" customHeight="1">
      <c r="B81" s="43" t="inlineStr">
        <is>
          <t>What usually consumes more time than you intended?</t>
        </is>
      </c>
      <c r="C81" s="44" t="n"/>
      <c r="D81" s="28" t="n"/>
      <c r="E81" s="28" t="n"/>
      <c r="F81" t="n">
        <v>1</v>
      </c>
    </row>
    <row r="83" ht="24" customHeight="1">
      <c r="A83" s="42" t="inlineStr">
        <is>
          <t>5. HOW ARE YOU CURRENTLY GENERATING BUSINESS?</t>
        </is>
      </c>
    </row>
    <row r="84" ht="28" customHeight="1">
      <c r="A84" s="45" t="inlineStr">
        <is>
          <t>Activity level: 0 = Not currently using · 1 = Occasionally · 3 = Consistently · 5 = Major part of my business</t>
        </is>
      </c>
    </row>
    <row r="85">
      <c r="B85" s="46" t="inlineStr">
        <is>
          <t>Business Development Source</t>
        </is>
      </c>
      <c r="C85" s="46" t="inlineStr">
        <is>
          <t>Activity Level 0–5</t>
        </is>
      </c>
      <c r="D85" s="46" t="inlineStr">
        <is>
          <t>Generated a Real Opportunity?</t>
        </is>
      </c>
    </row>
    <row r="86">
      <c r="B86" s="47" t="inlineStr">
        <is>
          <t>Cold Calling Property Owners</t>
        </is>
      </c>
      <c r="C86" s="36" t="n"/>
      <c r="D86" s="36" t="n"/>
      <c r="F86" t="n">
        <v>1</v>
      </c>
    </row>
    <row r="87">
      <c r="B87" s="47" t="inlineStr">
        <is>
          <t>Calling Businesses / Tenants</t>
        </is>
      </c>
      <c r="C87" s="36" t="n"/>
      <c r="D87" s="36" t="n"/>
      <c r="F87" t="n">
        <v>1</v>
      </c>
    </row>
    <row r="88">
      <c r="B88" s="47" t="inlineStr">
        <is>
          <t>Sphere of Influence</t>
        </is>
      </c>
      <c r="C88" s="36" t="n"/>
      <c r="D88" s="36" t="n"/>
      <c r="F88" t="n">
        <v>1</v>
      </c>
    </row>
    <row r="89">
      <c r="B89" s="47" t="inlineStr">
        <is>
          <t>Past Clients</t>
        </is>
      </c>
      <c r="C89" s="36" t="n"/>
      <c r="D89" s="36" t="n"/>
      <c r="F89" t="n">
        <v>1</v>
      </c>
    </row>
    <row r="90">
      <c r="B90" s="47" t="inlineStr">
        <is>
          <t>Current Clients</t>
        </is>
      </c>
      <c r="C90" s="36" t="n"/>
      <c r="D90" s="36" t="n"/>
      <c r="F90" t="n">
        <v>1</v>
      </c>
    </row>
    <row r="91">
      <c r="B91" s="47" t="inlineStr">
        <is>
          <t>KW Residential Agent Referrals</t>
        </is>
      </c>
      <c r="C91" s="36" t="n"/>
      <c r="D91" s="36" t="n"/>
      <c r="F91" t="n">
        <v>1</v>
      </c>
    </row>
    <row r="92">
      <c r="B92" s="47" t="inlineStr">
        <is>
          <t>KW Commercial Referrals</t>
        </is>
      </c>
      <c r="C92" s="36" t="n"/>
      <c r="D92" s="36" t="n"/>
      <c r="F92" t="n">
        <v>1</v>
      </c>
    </row>
    <row r="93">
      <c r="B93" s="47" t="inlineStr">
        <is>
          <t>Outside Broker Referrals</t>
        </is>
      </c>
      <c r="C93" s="36" t="n"/>
      <c r="D93" s="36" t="n"/>
      <c r="F93" t="n">
        <v>1</v>
      </c>
    </row>
    <row r="94">
      <c r="B94" s="47" t="inlineStr">
        <is>
          <t>Attorneys</t>
        </is>
      </c>
      <c r="C94" s="36" t="n"/>
      <c r="D94" s="36" t="n"/>
      <c r="F94" t="n">
        <v>1</v>
      </c>
    </row>
    <row r="95">
      <c r="B95" s="47" t="inlineStr">
        <is>
          <t>CPAs / Accountants</t>
        </is>
      </c>
      <c r="C95" s="36" t="n"/>
      <c r="D95" s="36" t="n"/>
      <c r="F95" t="n">
        <v>1</v>
      </c>
    </row>
    <row r="96">
      <c r="B96" s="47" t="inlineStr">
        <is>
          <t>Lenders / Bankers</t>
        </is>
      </c>
      <c r="C96" s="36" t="n"/>
      <c r="D96" s="36" t="n"/>
      <c r="F96" t="n">
        <v>1</v>
      </c>
    </row>
    <row r="97">
      <c r="B97" s="47" t="inlineStr">
        <is>
          <t>Developers / Builders</t>
        </is>
      </c>
      <c r="C97" s="36" t="n"/>
      <c r="D97" s="36" t="n"/>
      <c r="F97" t="n">
        <v>1</v>
      </c>
    </row>
    <row r="98">
      <c r="B98" s="47" t="inlineStr">
        <is>
          <t>Investors</t>
        </is>
      </c>
      <c r="C98" s="36" t="n"/>
      <c r="D98" s="36" t="n"/>
      <c r="F98" t="n">
        <v>1</v>
      </c>
    </row>
    <row r="99">
      <c r="B99" s="47" t="inlineStr">
        <is>
          <t>Business Owners</t>
        </is>
      </c>
      <c r="C99" s="36" t="n"/>
      <c r="D99" s="36" t="n"/>
      <c r="F99" t="n">
        <v>1</v>
      </c>
    </row>
    <row r="100">
      <c r="B100" s="47" t="inlineStr">
        <is>
          <t>Networking Organizations</t>
        </is>
      </c>
      <c r="C100" s="36" t="n"/>
      <c r="D100" s="36" t="n"/>
      <c r="F100" t="n">
        <v>1</v>
      </c>
    </row>
    <row r="101">
      <c r="B101" s="47" t="inlineStr">
        <is>
          <t>Email Campaigns</t>
        </is>
      </c>
      <c r="C101" s="36" t="n"/>
      <c r="D101" s="36" t="n"/>
      <c r="F101" t="n">
        <v>1</v>
      </c>
    </row>
    <row r="102">
      <c r="B102" s="47" t="inlineStr">
        <is>
          <t>Direct Mail</t>
        </is>
      </c>
      <c r="C102" s="36" t="n"/>
      <c r="D102" s="36" t="n"/>
      <c r="F102" t="n">
        <v>1</v>
      </c>
    </row>
    <row r="103">
      <c r="B103" s="47" t="inlineStr">
        <is>
          <t>Social Media / Content</t>
        </is>
      </c>
      <c r="C103" s="36" t="n"/>
      <c r="D103" s="36" t="n"/>
      <c r="F103" t="n">
        <v>1</v>
      </c>
    </row>
    <row r="104">
      <c r="B104" s="47" t="inlineStr">
        <is>
          <t>Crexi / Online Platforms</t>
        </is>
      </c>
      <c r="C104" s="36" t="n"/>
      <c r="D104" s="36" t="n"/>
      <c r="F104" t="n">
        <v>1</v>
      </c>
    </row>
    <row r="105">
      <c r="B105" s="47" t="inlineStr">
        <is>
          <t>Database / CRM Follow-Up</t>
        </is>
      </c>
      <c r="C105" s="36" t="n"/>
      <c r="D105" s="36" t="n"/>
      <c r="F105" t="n">
        <v>1</v>
      </c>
    </row>
    <row r="106">
      <c r="B106" s="47" t="inlineStr">
        <is>
          <t>Property Visits / Canvassing</t>
        </is>
      </c>
      <c r="C106" s="36" t="n"/>
      <c r="D106" s="36" t="n"/>
      <c r="F106" t="n">
        <v>1</v>
      </c>
    </row>
    <row r="107">
      <c r="B107" s="47" t="inlineStr">
        <is>
          <t>Market Center Relationships</t>
        </is>
      </c>
      <c r="C107" s="36" t="n"/>
      <c r="D107" s="36" t="n"/>
      <c r="F107" t="n">
        <v>1</v>
      </c>
    </row>
    <row r="108">
      <c r="B108" s="47" t="inlineStr">
        <is>
          <t>Other</t>
        </is>
      </c>
      <c r="C108" s="36" t="n"/>
      <c r="D108" s="36" t="n"/>
      <c r="F108" t="n">
        <v>1</v>
      </c>
    </row>
    <row r="109" ht="48" customHeight="1">
      <c r="B109" s="43" t="inlineStr">
        <is>
          <t>If Other, please explain:</t>
        </is>
      </c>
      <c r="C109" s="44" t="n"/>
      <c r="D109" s="28" t="n"/>
      <c r="E109" s="28" t="n"/>
      <c r="F109" t="n">
        <v>1</v>
      </c>
    </row>
    <row r="110" ht="48" customHeight="1">
      <c r="B110" s="43" t="inlineStr">
        <is>
          <t>What are currently your TOP THREE sources of business?</t>
        </is>
      </c>
      <c r="C110" s="44" t="n"/>
      <c r="D110" s="28" t="n"/>
      <c r="E110" s="28" t="n"/>
      <c r="F110" t="n">
        <v>1</v>
      </c>
    </row>
    <row r="111" ht="48" customHeight="1">
      <c r="B111" s="43" t="inlineStr">
        <is>
          <t>Which one has produced the most actual opportunities or transactions?</t>
        </is>
      </c>
      <c r="C111" s="44" t="n"/>
      <c r="D111" s="28" t="n"/>
      <c r="E111" s="28" t="n"/>
      <c r="F111" t="n">
        <v>1</v>
      </c>
    </row>
    <row r="112" ht="48" customHeight="1">
      <c r="B112" s="43" t="inlineStr">
        <is>
          <t>Which business-development channel do you believe you should be using more?</t>
        </is>
      </c>
      <c r="C112" s="44" t="n"/>
      <c r="D112" s="28" t="n"/>
      <c r="E112" s="28" t="n"/>
      <c r="F112" t="n">
        <v>1</v>
      </c>
    </row>
    <row r="114" ht="24" customHeight="1">
      <c r="A114" s="42" t="inlineStr">
        <is>
          <t>6. YOUR MARKET CENTER</t>
        </is>
      </c>
    </row>
    <row r="115" ht="48" customHeight="1">
      <c r="B115" s="43" t="inlineStr">
        <is>
          <t>How have you been developing relationships within your Market Center?</t>
        </is>
      </c>
      <c r="C115" s="44" t="n"/>
      <c r="D115" s="28" t="n"/>
      <c r="E115" s="28" t="n"/>
      <c r="F115" t="n">
        <v>1</v>
      </c>
    </row>
    <row r="116">
      <c r="B116" s="43" t="inlineStr">
        <is>
          <t>How many residential agents in your Market Center know that you handle commercial real estate?</t>
        </is>
      </c>
      <c r="C116" s="44" t="n"/>
      <c r="D116" s="28" t="n"/>
      <c r="E116" s="28" t="n"/>
      <c r="F116" t="n">
        <v>1</v>
      </c>
    </row>
    <row r="117">
      <c r="B117" s="48" t="inlineStr">
        <is>
          <t>What have you done to generate commercial referrals from your Market Center?  (select Yes for all that apply)</t>
        </is>
      </c>
    </row>
    <row r="118">
      <c r="B118" s="47" t="inlineStr">
        <is>
          <t xml:space="preserve">      Introduced myself individually to agents</t>
        </is>
      </c>
      <c r="C118" s="36" t="n"/>
    </row>
    <row r="119">
      <c r="B119" s="47" t="inlineStr">
        <is>
          <t xml:space="preserve">      Attended team/office meetings</t>
        </is>
      </c>
      <c r="C119" s="36" t="n"/>
    </row>
    <row r="120">
      <c r="B120" s="47" t="inlineStr">
        <is>
          <t xml:space="preserve">      Given commercial real estate presentations</t>
        </is>
      </c>
      <c r="C120" s="36" t="n"/>
    </row>
    <row r="121">
      <c r="B121" s="47" t="inlineStr">
        <is>
          <t xml:space="preserve">      Shared commercial opportunities/listings</t>
        </is>
      </c>
      <c r="C121" s="36" t="n"/>
    </row>
    <row r="122">
      <c r="B122" s="47" t="inlineStr">
        <is>
          <t xml:space="preserve">      Asked agents directly for referrals</t>
        </is>
      </c>
      <c r="C122" s="36" t="n"/>
    </row>
    <row r="123">
      <c r="B123" s="47" t="inlineStr">
        <is>
          <t xml:space="preserve">      Helped agents with commercial questions</t>
        </is>
      </c>
      <c r="C123" s="36" t="n"/>
    </row>
    <row r="124">
      <c r="B124" s="47" t="inlineStr">
        <is>
          <t xml:space="preserve">      Developed relationships with leadership</t>
        </is>
      </c>
      <c r="C124" s="36" t="n"/>
    </row>
    <row r="125">
      <c r="B125" s="47" t="inlineStr">
        <is>
          <t xml:space="preserve">      Participated in office events</t>
        </is>
      </c>
      <c r="C125" s="36" t="n"/>
    </row>
    <row r="126">
      <c r="B126" s="47" t="inlineStr">
        <is>
          <t xml:space="preserve">      Sent emails/newsletters to agents</t>
        </is>
      </c>
      <c r="C126" s="36" t="n"/>
    </row>
    <row r="127">
      <c r="B127" s="47" t="inlineStr">
        <is>
          <t xml:space="preserve">      Shared CRE educational content</t>
        </is>
      </c>
      <c r="C127" s="36" t="n"/>
    </row>
    <row r="128">
      <c r="B128" s="47" t="inlineStr">
        <is>
          <t xml:space="preserve">      Nothing consistently yet</t>
        </is>
      </c>
      <c r="C128" s="36" t="n"/>
    </row>
    <row r="129">
      <c r="B129" s="47" t="inlineStr">
        <is>
          <t xml:space="preserve">      Other (describe →)</t>
        </is>
      </c>
      <c r="C129" s="36" t="n"/>
      <c r="D129" s="28" t="n"/>
    </row>
    <row r="130">
      <c r="B130" s="43" t="inlineStr">
        <is>
          <t>Meaningful conversations with Market Center agents in a typical month:</t>
        </is>
      </c>
      <c r="C130" s="44" t="n"/>
      <c r="D130" s="28" t="n"/>
      <c r="E130" s="28" t="n"/>
      <c r="F130" t="n">
        <v>1</v>
      </c>
    </row>
    <row r="131">
      <c r="B131" s="43" t="inlineStr">
        <is>
          <t>Commercial referrals received from your Market Center in the past 90 days:</t>
        </is>
      </c>
      <c r="C131" s="44" t="n"/>
      <c r="D131" s="28" t="n"/>
      <c r="E131" s="28" t="n"/>
      <c r="F131" t="n">
        <v>1</v>
      </c>
    </row>
    <row r="132" ht="48" customHeight="1">
      <c r="B132" s="43" t="inlineStr">
        <is>
          <t>What could you do differently over the next 90 days to become the commercial resource within your office?</t>
        </is>
      </c>
      <c r="C132" s="44" t="n"/>
      <c r="D132" s="28" t="n"/>
      <c r="E132" s="28" t="n"/>
      <c r="F132" t="n">
        <v>1</v>
      </c>
    </row>
    <row r="134" ht="24" customHeight="1">
      <c r="A134" s="42" t="inlineStr">
        <is>
          <t>7. YOUR SPHERE OF INFLUENCE</t>
        </is>
      </c>
    </row>
    <row r="135">
      <c r="B135" s="48" t="inlineStr">
        <is>
          <t>Who currently knows that you work in commercial real estate?  (select Yes for all that apply)</t>
        </is>
      </c>
    </row>
    <row r="136">
      <c r="B136" s="47" t="inlineStr">
        <is>
          <t xml:space="preserve">      Friends / Family</t>
        </is>
      </c>
      <c r="C136" s="36" t="n"/>
    </row>
    <row r="137">
      <c r="B137" s="47" t="inlineStr">
        <is>
          <t xml:space="preserve">      Former Clients</t>
        </is>
      </c>
      <c r="C137" s="36" t="n"/>
    </row>
    <row r="138">
      <c r="B138" s="47" t="inlineStr">
        <is>
          <t xml:space="preserve">      Residential Clients</t>
        </is>
      </c>
      <c r="C138" s="36" t="n"/>
    </row>
    <row r="139">
      <c r="B139" s="47" t="inlineStr">
        <is>
          <t xml:space="preserve">      Business Owners</t>
        </is>
      </c>
      <c r="C139" s="36" t="n"/>
    </row>
    <row r="140">
      <c r="B140" s="47" t="inlineStr">
        <is>
          <t xml:space="preserve">      Investors</t>
        </is>
      </c>
      <c r="C140" s="36" t="n"/>
    </row>
    <row r="141">
      <c r="B141" s="47" t="inlineStr">
        <is>
          <t xml:space="preserve">      Attorneys</t>
        </is>
      </c>
      <c r="C141" s="36" t="n"/>
    </row>
    <row r="142">
      <c r="B142" s="47" t="inlineStr">
        <is>
          <t xml:space="preserve">      CPAs</t>
        </is>
      </c>
      <c r="C142" s="36" t="n"/>
    </row>
    <row r="143">
      <c r="B143" s="47" t="inlineStr">
        <is>
          <t xml:space="preserve">      Lenders</t>
        </is>
      </c>
      <c r="C143" s="36" t="n"/>
    </row>
    <row r="144">
      <c r="B144" s="47" t="inlineStr">
        <is>
          <t xml:space="preserve">      Developers</t>
        </is>
      </c>
      <c r="C144" s="36" t="n"/>
    </row>
    <row r="145">
      <c r="B145" s="47" t="inlineStr">
        <is>
          <t xml:space="preserve">      Contractors</t>
        </is>
      </c>
      <c r="C145" s="36" t="n"/>
    </row>
    <row r="146">
      <c r="B146" s="47" t="inlineStr">
        <is>
          <t xml:space="preserve">      Other Brokers</t>
        </is>
      </c>
      <c r="C146" s="36" t="n"/>
    </row>
    <row r="147">
      <c r="B147" s="47" t="inlineStr">
        <is>
          <t xml:space="preserve">      Community Organizations</t>
        </is>
      </c>
      <c r="C147" s="36" t="n"/>
    </row>
    <row r="148">
      <c r="B148" s="47" t="inlineStr">
        <is>
          <t xml:space="preserve">      Other (describe →)</t>
        </is>
      </c>
      <c r="C148" s="36" t="n"/>
      <c r="D148" s="28" t="n"/>
    </row>
    <row r="149">
      <c r="B149" s="43" t="inlineStr">
        <is>
          <t>Approximately how many people are part of your professional sphere today?</t>
        </is>
      </c>
      <c r="C149" s="44" t="n"/>
      <c r="D149" s="28" t="n"/>
      <c r="E149" s="28" t="n"/>
      <c r="F149" t="n">
        <v>1</v>
      </c>
    </row>
    <row r="150">
      <c r="B150" s="43" t="inlineStr">
        <is>
          <t>How often are you intentionally communicating with your sphere?</t>
        </is>
      </c>
      <c r="C150" s="44" t="n"/>
      <c r="D150" s="28" t="n"/>
      <c r="E150" s="28" t="n"/>
      <c r="F150" t="n">
        <v>1</v>
      </c>
    </row>
    <row r="151" ht="48" customHeight="1">
      <c r="B151" s="43" t="inlineStr">
        <is>
          <t>What are you currently doing to grow your sphere?</t>
        </is>
      </c>
      <c r="C151" s="44" t="n"/>
      <c r="D151" s="28" t="n"/>
      <c r="E151" s="28" t="n"/>
      <c r="F151" t="n">
        <v>1</v>
      </c>
    </row>
    <row r="152" ht="48" customHeight="1">
      <c r="B152" s="43" t="inlineStr">
        <is>
          <t>Five people or categories of people you should be building stronger relationships with:</t>
        </is>
      </c>
      <c r="C152" s="44" t="n"/>
      <c r="D152" s="28" t="n"/>
      <c r="E152" s="28" t="n"/>
      <c r="F152" t="n">
        <v>1</v>
      </c>
    </row>
    <row r="154" ht="24" customHeight="1">
      <c r="A154" s="42" t="inlineStr">
        <is>
          <t>8. MARKET &amp; PRODUCT FOCUS</t>
        </is>
      </c>
    </row>
    <row r="155">
      <c r="B155" s="43" t="inlineStr">
        <is>
          <t>Do you currently have a defined commercial real estate focus?</t>
        </is>
      </c>
      <c r="C155" s="44" t="n"/>
      <c r="D155" s="28" t="n"/>
      <c r="E155" s="28" t="n"/>
      <c r="F155" t="n">
        <v>1</v>
      </c>
    </row>
    <row r="156">
      <c r="B156" s="43" t="inlineStr">
        <is>
          <t>Are you focusing on a particular geographic area?</t>
        </is>
      </c>
      <c r="C156" s="44" t="n"/>
      <c r="D156" s="28" t="n"/>
      <c r="E156" s="28" t="n"/>
      <c r="F156" t="n">
        <v>1</v>
      </c>
    </row>
    <row r="157">
      <c r="B157" s="43" t="inlineStr">
        <is>
          <t>Primary Market:</t>
        </is>
      </c>
      <c r="C157" s="44" t="n"/>
      <c r="D157" s="28" t="n"/>
      <c r="E157" s="28" t="n"/>
      <c r="F157" t="n">
        <v>1</v>
      </c>
    </row>
    <row r="158">
      <c r="B158" s="43" t="inlineStr">
        <is>
          <t>Secondary Market:</t>
        </is>
      </c>
      <c r="C158" s="44" t="n"/>
      <c r="D158" s="28" t="n"/>
      <c r="E158" s="28" t="n"/>
      <c r="F158" t="n">
        <v>1</v>
      </c>
    </row>
    <row r="159" ht="48" customHeight="1">
      <c r="B159" s="43" t="inlineStr">
        <is>
          <t>Specific submarkets / corridors / neighborhoods:</t>
        </is>
      </c>
      <c r="C159" s="44" t="n"/>
      <c r="D159" s="28" t="n"/>
      <c r="E159" s="28" t="n"/>
      <c r="F159" t="n">
        <v>1</v>
      </c>
    </row>
    <row r="160">
      <c r="B160" s="48" t="inlineStr">
        <is>
          <t>Which property types are you currently pursuing?  (select Yes for all that apply)</t>
        </is>
      </c>
    </row>
    <row r="161">
      <c r="B161" s="47" t="inlineStr">
        <is>
          <t xml:space="preserve">      Retail</t>
        </is>
      </c>
      <c r="C161" s="36" t="n"/>
    </row>
    <row r="162">
      <c r="B162" s="47" t="inlineStr">
        <is>
          <t xml:space="preserve">      Office</t>
        </is>
      </c>
      <c r="C162" s="36" t="n"/>
    </row>
    <row r="163">
      <c r="B163" s="47" t="inlineStr">
        <is>
          <t xml:space="preserve">      Industrial</t>
        </is>
      </c>
      <c r="C163" s="36" t="n"/>
    </row>
    <row r="164">
      <c r="B164" s="47" t="inlineStr">
        <is>
          <t xml:space="preserve">      Land</t>
        </is>
      </c>
      <c r="C164" s="36" t="n"/>
    </row>
    <row r="165">
      <c r="B165" s="47" t="inlineStr">
        <is>
          <t xml:space="preserve">      Multifamily</t>
        </is>
      </c>
      <c r="C165" s="36" t="n"/>
    </row>
    <row r="166">
      <c r="B166" s="47" t="inlineStr">
        <is>
          <t xml:space="preserve">      Medical / Healthcare</t>
        </is>
      </c>
      <c r="C166" s="36" t="n"/>
    </row>
    <row r="167">
      <c r="B167" s="47" t="inlineStr">
        <is>
          <t xml:space="preserve">      Hospitality</t>
        </is>
      </c>
      <c r="C167" s="36" t="n"/>
    </row>
    <row r="168">
      <c r="B168" s="47" t="inlineStr">
        <is>
          <t xml:space="preserve">      Investment Sales</t>
        </is>
      </c>
      <c r="C168" s="36" t="n"/>
    </row>
    <row r="169">
      <c r="B169" s="47" t="inlineStr">
        <is>
          <t xml:space="preserve">      Development</t>
        </is>
      </c>
      <c r="C169" s="36" t="n"/>
    </row>
    <row r="170">
      <c r="B170" s="47" t="inlineStr">
        <is>
          <t xml:space="preserve">      Business Brokerage</t>
        </is>
      </c>
      <c r="C170" s="36" t="n"/>
    </row>
    <row r="171">
      <c r="B171" s="47" t="inlineStr">
        <is>
          <t xml:space="preserve">      Other (describe →)</t>
        </is>
      </c>
      <c r="C171" s="36" t="n"/>
      <c r="D171" s="28" t="n"/>
    </row>
    <row r="172" ht="48" customHeight="1">
      <c r="B172" s="43" t="inlineStr">
        <is>
          <t>Which ONE or TWO areas would you most like to become known for?</t>
        </is>
      </c>
      <c r="C172" s="44" t="n"/>
      <c r="D172" s="28" t="n"/>
      <c r="E172" s="28" t="n"/>
      <c r="F172" t="n">
        <v>1</v>
      </c>
    </row>
    <row r="173" ht="48" customHeight="1">
      <c r="B173" s="43" t="inlineStr">
        <is>
          <t>If someone asked you today, “What type of commercial real estate do you specialize in?” what would you say?</t>
        </is>
      </c>
      <c r="C173" s="44" t="n"/>
      <c r="D173" s="28" t="n"/>
      <c r="E173" s="28" t="n"/>
      <c r="F173" t="n">
        <v>1</v>
      </c>
    </row>
    <row r="174" ht="48" customHeight="1">
      <c r="B174" s="43" t="inlineStr">
        <is>
          <t>Do you feel confident saying that? Why or why not?</t>
        </is>
      </c>
      <c r="C174" s="44" t="n"/>
      <c r="D174" s="28" t="n"/>
      <c r="E174" s="28" t="n"/>
      <c r="F174" t="n">
        <v>1</v>
      </c>
    </row>
    <row r="176" ht="24" customHeight="1">
      <c r="A176" s="42" t="inlineStr">
        <is>
          <t>9. CURRENT COMMERCIAL PIPELINE</t>
        </is>
      </c>
    </row>
    <row r="177" ht="28" customHeight="1">
      <c r="A177" s="45" t="inlineStr">
        <is>
          <t>Do your best. Exact numbers are not required.</t>
        </is>
      </c>
    </row>
    <row r="178">
      <c r="B178" s="46" t="inlineStr">
        <is>
          <t>Category</t>
        </is>
      </c>
      <c r="C178" s="46" t="inlineStr">
        <is>
          <t>#</t>
        </is>
      </c>
      <c r="D178" s="46" t="inlineStr">
        <is>
          <t>Approx. Transaction Volume</t>
        </is>
      </c>
      <c r="E178" s="46" t="inlineStr">
        <is>
          <t>Potential GCI</t>
        </is>
      </c>
    </row>
    <row r="179">
      <c r="B179" s="47" t="inlineStr">
        <is>
          <t>Active Listings</t>
        </is>
      </c>
      <c r="C179" s="36" t="n"/>
      <c r="D179" s="37" t="n"/>
      <c r="E179" s="37" t="n"/>
      <c r="F179" t="n">
        <v>1</v>
      </c>
    </row>
    <row r="180">
      <c r="B180" s="47" t="inlineStr">
        <is>
          <t>Buyer Assignments</t>
        </is>
      </c>
      <c r="C180" s="36" t="n"/>
      <c r="D180" s="37" t="n"/>
      <c r="E180" s="37" t="n"/>
      <c r="F180" t="n">
        <v>1</v>
      </c>
    </row>
    <row r="181">
      <c r="B181" s="47" t="inlineStr">
        <is>
          <t>Tenant Representation</t>
        </is>
      </c>
      <c r="C181" s="36" t="n"/>
      <c r="D181" s="37" t="n"/>
      <c r="E181" s="37" t="n"/>
      <c r="F181" t="n">
        <v>1</v>
      </c>
    </row>
    <row r="182">
      <c r="B182" s="47" t="inlineStr">
        <is>
          <t>Landlord Representation</t>
        </is>
      </c>
      <c r="C182" s="36" t="n"/>
      <c r="D182" s="37" t="n"/>
      <c r="E182" s="37" t="n"/>
      <c r="F182" t="n">
        <v>1</v>
      </c>
    </row>
    <row r="183">
      <c r="B183" s="47" t="inlineStr">
        <is>
          <t>Active LOIs</t>
        </is>
      </c>
      <c r="C183" s="36" t="n"/>
      <c r="D183" s="37" t="n"/>
      <c r="E183" s="37" t="n"/>
      <c r="F183" t="n">
        <v>1</v>
      </c>
    </row>
    <row r="184">
      <c r="B184" s="47" t="inlineStr">
        <is>
          <t>Under Contract</t>
        </is>
      </c>
      <c r="C184" s="36" t="n"/>
      <c r="D184" s="37" t="n"/>
      <c r="E184" s="37" t="n"/>
      <c r="F184" t="n">
        <v>1</v>
      </c>
    </row>
    <row r="185">
      <c r="B185" s="47" t="inlineStr">
        <is>
          <t>Qualified Prospects</t>
        </is>
      </c>
      <c r="C185" s="36" t="n"/>
      <c r="D185" s="37" t="n"/>
      <c r="E185" s="37" t="n"/>
      <c r="F185" t="n">
        <v>1</v>
      </c>
    </row>
    <row r="186">
      <c r="B186" s="47" t="inlineStr">
        <is>
          <t>Early-Stage Opportunities</t>
        </is>
      </c>
      <c r="C186" s="36" t="n"/>
      <c r="D186" s="37" t="n"/>
      <c r="E186" s="37" t="n"/>
      <c r="F186" t="n">
        <v>1</v>
      </c>
    </row>
    <row r="187">
      <c r="B187" s="49" t="inlineStr">
        <is>
          <t>TOTAL</t>
        </is>
      </c>
      <c r="C187" s="50">
        <f>SUM(C179:C186)</f>
        <v/>
      </c>
      <c r="D187" s="55">
        <f>SUM(D179:D186)</f>
        <v/>
      </c>
      <c r="E187" s="55">
        <f>SUM(E179:E186)</f>
        <v/>
      </c>
    </row>
    <row r="188">
      <c r="B188" s="43" t="inlineStr">
        <is>
          <t>New commercial opportunities created in the last 30 days:</t>
        </is>
      </c>
      <c r="C188" s="44" t="n"/>
      <c r="D188" s="28" t="n"/>
      <c r="E188" s="28" t="n"/>
      <c r="F188" t="n">
        <v>1</v>
      </c>
    </row>
    <row r="189">
      <c r="B189" s="43" t="inlineStr">
        <is>
          <t>Prospect/client meetings in the last 30 days:</t>
        </is>
      </c>
      <c r="C189" s="44" t="n"/>
      <c r="D189" s="28" t="n"/>
      <c r="E189" s="28" t="n"/>
      <c r="F189" t="n">
        <v>1</v>
      </c>
    </row>
    <row r="190">
      <c r="B190" s="43" t="inlineStr">
        <is>
          <t>New people added to your commercial database in the last 30 days:</t>
        </is>
      </c>
      <c r="C190" s="44" t="n"/>
      <c r="D190" s="28" t="n"/>
      <c r="E190" s="28" t="n"/>
      <c r="F190" t="n">
        <v>1</v>
      </c>
    </row>
    <row r="191">
      <c r="B191" s="43" t="inlineStr">
        <is>
          <t>How many follow-ups are currently outstanding? (number or “Unsure”)</t>
        </is>
      </c>
      <c r="C191" s="44" t="n"/>
      <c r="D191" s="28" t="n"/>
      <c r="E191" s="28" t="n"/>
      <c r="F191" t="n">
        <v>1</v>
      </c>
    </row>
    <row r="192">
      <c r="B192" s="43" t="inlineStr">
        <is>
          <t>Do you currently know what your commercial pipeline is worth in potential GCI?</t>
        </is>
      </c>
      <c r="C192" s="44" t="n"/>
      <c r="D192" s="28" t="n"/>
      <c r="E192" s="28" t="n"/>
      <c r="F192" t="n">
        <v>1</v>
      </c>
    </row>
    <row r="194" ht="24" customHeight="1">
      <c r="A194" s="42" t="inlineStr">
        <is>
          <t>10. SKILLS &amp; CONFIDENCE ASSESSMENT</t>
        </is>
      </c>
    </row>
    <row r="195" ht="28" customHeight="1">
      <c r="A195" s="45" t="inlineStr">
        <is>
          <t>Rate yourself honestly.  1 = Need substantial help · 3 = Comfortable · 5 = Strong enough to teach someone else</t>
        </is>
      </c>
    </row>
    <row r="196">
      <c r="B196" s="46" t="inlineStr">
        <is>
          <t>Area</t>
        </is>
      </c>
      <c r="C196" s="46" t="inlineStr">
        <is>
          <t>Score 1–5</t>
        </is>
      </c>
    </row>
    <row r="197">
      <c r="B197" s="47" t="inlineStr">
        <is>
          <t>Cold Calling</t>
        </is>
      </c>
      <c r="C197" s="36" t="n"/>
      <c r="F197" t="n">
        <v>1</v>
      </c>
    </row>
    <row r="198">
      <c r="B198" s="47" t="inlineStr">
        <is>
          <t>Prospecting</t>
        </is>
      </c>
      <c r="C198" s="36" t="n"/>
      <c r="F198" t="n">
        <v>1</v>
      </c>
    </row>
    <row r="199">
      <c r="B199" s="47" t="inlineStr">
        <is>
          <t>Building Prospect Lists</t>
        </is>
      </c>
      <c r="C199" s="36" t="n"/>
      <c r="F199" t="n">
        <v>1</v>
      </c>
    </row>
    <row r="200">
      <c r="B200" s="47" t="inlineStr">
        <is>
          <t>Getting Decision Makers on the Phone</t>
        </is>
      </c>
      <c r="C200" s="36" t="n"/>
      <c r="F200" t="n">
        <v>1</v>
      </c>
    </row>
    <row r="201">
      <c r="B201" s="47" t="inlineStr">
        <is>
          <t>Converting Conversations into Meetings</t>
        </is>
      </c>
      <c r="C201" s="36" t="n"/>
      <c r="F201" t="n">
        <v>1</v>
      </c>
    </row>
    <row r="202">
      <c r="B202" s="47" t="inlineStr">
        <is>
          <t>Discovery Meetings</t>
        </is>
      </c>
      <c r="C202" s="36" t="n"/>
      <c r="F202" t="n">
        <v>1</v>
      </c>
    </row>
    <row r="203">
      <c r="B203" s="47" t="inlineStr">
        <is>
          <t>Listing Presentations</t>
        </is>
      </c>
      <c r="C203" s="36" t="n"/>
      <c r="F203" t="n">
        <v>1</v>
      </c>
    </row>
    <row r="204">
      <c r="B204" s="47" t="inlineStr">
        <is>
          <t>Buyer / Tenant Presentations</t>
        </is>
      </c>
      <c r="C204" s="36" t="n"/>
      <c r="F204" t="n">
        <v>1</v>
      </c>
    </row>
    <row r="205">
      <c r="B205" s="47" t="inlineStr">
        <is>
          <t>Market Research</t>
        </is>
      </c>
      <c r="C205" s="36" t="n"/>
      <c r="F205" t="n">
        <v>1</v>
      </c>
    </row>
    <row r="206">
      <c r="B206" s="47" t="inlineStr">
        <is>
          <t>Land id</t>
        </is>
      </c>
      <c r="C206" s="36" t="n"/>
      <c r="F206" t="n">
        <v>1</v>
      </c>
    </row>
    <row r="207">
      <c r="B207" s="47" t="inlineStr">
        <is>
          <t>Crexi</t>
        </is>
      </c>
      <c r="C207" s="36" t="n"/>
      <c r="F207" t="n">
        <v>1</v>
      </c>
    </row>
    <row r="208">
      <c r="B208" s="47" t="inlineStr">
        <is>
          <t>GIS</t>
        </is>
      </c>
      <c r="C208" s="36" t="n"/>
      <c r="F208" t="n">
        <v>1</v>
      </c>
    </row>
    <row r="209">
      <c r="B209" s="47" t="inlineStr">
        <is>
          <t>CRM / Database Management</t>
        </is>
      </c>
      <c r="C209" s="36" t="n"/>
      <c r="F209" t="n">
        <v>1</v>
      </c>
    </row>
    <row r="210">
      <c r="B210" s="47" t="inlineStr">
        <is>
          <t>Financial Underwriting</t>
        </is>
      </c>
      <c r="C210" s="36" t="n"/>
      <c r="F210" t="n">
        <v>1</v>
      </c>
    </row>
    <row r="211">
      <c r="B211" s="47" t="inlineStr">
        <is>
          <t>NOI / Cap Rate / Valuation</t>
        </is>
      </c>
      <c r="C211" s="36" t="n"/>
      <c r="F211" t="n">
        <v>1</v>
      </c>
    </row>
    <row r="212">
      <c r="B212" s="47" t="inlineStr">
        <is>
          <t>BOV Preparation</t>
        </is>
      </c>
      <c r="C212" s="36" t="n"/>
      <c r="F212" t="n">
        <v>1</v>
      </c>
    </row>
    <row r="213">
      <c r="B213" s="47" t="inlineStr">
        <is>
          <t>LOIs</t>
        </is>
      </c>
      <c r="C213" s="36" t="n"/>
      <c r="F213" t="n">
        <v>1</v>
      </c>
    </row>
    <row r="214">
      <c r="B214" s="47" t="inlineStr">
        <is>
          <t>Purchase Agreements</t>
        </is>
      </c>
      <c r="C214" s="36" t="n"/>
      <c r="F214" t="n">
        <v>1</v>
      </c>
    </row>
    <row r="215">
      <c r="B215" s="47" t="inlineStr">
        <is>
          <t>Commercial Leases</t>
        </is>
      </c>
      <c r="C215" s="36" t="n"/>
      <c r="F215" t="n">
        <v>1</v>
      </c>
    </row>
    <row r="216">
      <c r="B216" s="47" t="inlineStr">
        <is>
          <t>Due Diligence</t>
        </is>
      </c>
      <c r="C216" s="36" t="n"/>
      <c r="F216" t="n">
        <v>1</v>
      </c>
    </row>
    <row r="217">
      <c r="B217" s="47" t="inlineStr">
        <is>
          <t>Negotiation</t>
        </is>
      </c>
      <c r="C217" s="36" t="n"/>
      <c r="F217" t="n">
        <v>1</v>
      </c>
    </row>
    <row r="218">
      <c r="B218" s="47" t="inlineStr">
        <is>
          <t>Deal Management</t>
        </is>
      </c>
      <c r="C218" s="36" t="n"/>
      <c r="F218" t="n">
        <v>1</v>
      </c>
    </row>
    <row r="219">
      <c r="B219" s="47" t="inlineStr">
        <is>
          <t>Client Follow-Up</t>
        </is>
      </c>
      <c r="C219" s="36" t="n"/>
      <c r="F219" t="n">
        <v>1</v>
      </c>
    </row>
    <row r="220">
      <c r="B220" s="47" t="inlineStr">
        <is>
          <t>Networking</t>
        </is>
      </c>
      <c r="C220" s="36" t="n"/>
      <c r="F220" t="n">
        <v>1</v>
      </c>
    </row>
    <row r="221">
      <c r="B221" s="47" t="inlineStr">
        <is>
          <t>Referral Development</t>
        </is>
      </c>
      <c r="C221" s="36" t="n"/>
      <c r="F221" t="n">
        <v>1</v>
      </c>
    </row>
    <row r="222">
      <c r="B222" s="47" t="inlineStr">
        <is>
          <t>AI / ChatGPT</t>
        </is>
      </c>
      <c r="C222" s="36" t="n"/>
      <c r="F222" t="n">
        <v>1</v>
      </c>
    </row>
    <row r="223">
      <c r="B223" s="47" t="inlineStr">
        <is>
          <t>Personal Organization</t>
        </is>
      </c>
      <c r="C223" s="36" t="n"/>
      <c r="F223" t="n">
        <v>1</v>
      </c>
    </row>
    <row r="224">
      <c r="B224" s="47" t="inlineStr">
        <is>
          <t>Time Management</t>
        </is>
      </c>
      <c r="C224" s="36" t="n"/>
      <c r="F224" t="n">
        <v>1</v>
      </c>
    </row>
    <row r="225" ht="48" customHeight="1">
      <c r="B225" s="43" t="inlineStr">
        <is>
          <t>Three areas where you feel strongest:</t>
        </is>
      </c>
      <c r="C225" s="44" t="n"/>
      <c r="D225" s="28" t="n"/>
      <c r="E225" s="28" t="n"/>
      <c r="F225" t="n">
        <v>1</v>
      </c>
    </row>
    <row r="226" ht="48" customHeight="1">
      <c r="B226" s="43" t="inlineStr">
        <is>
          <t>Three areas where you most want help:</t>
        </is>
      </c>
      <c r="C226" s="44" t="n"/>
      <c r="D226" s="28" t="n"/>
      <c r="E226" s="28" t="n"/>
      <c r="F226" t="n">
        <v>1</v>
      </c>
    </row>
    <row r="228" ht="24" customHeight="1">
      <c r="A228" s="42" t="inlineStr">
        <is>
          <t>11. PAIN POINTS &amp; AREAS FOR IMPROVEMENT</t>
        </is>
      </c>
    </row>
    <row r="229">
      <c r="B229" s="48" t="inlineStr">
        <is>
          <t>What do you believe is currently preventing you from growing faster?  (select Yes for all that apply)</t>
        </is>
      </c>
    </row>
    <row r="230">
      <c r="B230" s="47" t="inlineStr">
        <is>
          <t xml:space="preserve">      Not enough prospecting</t>
        </is>
      </c>
      <c r="C230" s="36" t="n"/>
    </row>
    <row r="231">
      <c r="B231" s="47" t="inlineStr">
        <is>
          <t xml:space="preserve">      Difficulty finding prospects</t>
        </is>
      </c>
      <c r="C231" s="36" t="n"/>
    </row>
    <row r="232">
      <c r="B232" s="47" t="inlineStr">
        <is>
          <t xml:space="preserve">      Difficulty making calls</t>
        </is>
      </c>
      <c r="C232" s="36" t="n"/>
    </row>
    <row r="233">
      <c r="B233" s="47" t="inlineStr">
        <is>
          <t xml:space="preserve">      Difficulty converting calls</t>
        </is>
      </c>
      <c r="C233" s="36" t="n"/>
    </row>
    <row r="234">
      <c r="B234" s="47" t="inlineStr">
        <is>
          <t xml:space="preserve">      Follow-up</t>
        </is>
      </c>
      <c r="C234" s="36" t="n"/>
    </row>
    <row r="235">
      <c r="B235" s="47" t="inlineStr">
        <is>
          <t xml:space="preserve">      Time management</t>
        </is>
      </c>
      <c r="C235" s="36" t="n"/>
    </row>
    <row r="236">
      <c r="B236" s="47" t="inlineStr">
        <is>
          <t xml:space="preserve">      Daily structure</t>
        </is>
      </c>
      <c r="C236" s="36" t="n"/>
    </row>
    <row r="237">
      <c r="B237" s="47" t="inlineStr">
        <is>
          <t xml:space="preserve">      Residential business consuming time</t>
        </is>
      </c>
      <c r="C237" s="36" t="n"/>
    </row>
    <row r="238">
      <c r="B238" s="47" t="inlineStr">
        <is>
          <t xml:space="preserve">      Lack of experience</t>
        </is>
      </c>
      <c r="C238" s="36" t="n"/>
    </row>
    <row r="239">
      <c r="B239" s="47" t="inlineStr">
        <is>
          <t xml:space="preserve">      Lack of confidence</t>
        </is>
      </c>
      <c r="C239" s="36" t="n"/>
    </row>
    <row r="240">
      <c r="B240" s="47" t="inlineStr">
        <is>
          <t xml:space="preserve">      Market knowledge</t>
        </is>
      </c>
      <c r="C240" s="36" t="n"/>
    </row>
    <row r="241">
      <c r="B241" s="47" t="inlineStr">
        <is>
          <t xml:space="preserve">      Product knowledge</t>
        </is>
      </c>
      <c r="C241" s="36" t="n"/>
    </row>
    <row r="242">
      <c r="B242" s="47" t="inlineStr">
        <is>
          <t xml:space="preserve">      Financial analysis</t>
        </is>
      </c>
      <c r="C242" s="36" t="n"/>
    </row>
    <row r="243">
      <c r="B243" s="47" t="inlineStr">
        <is>
          <t xml:space="preserve">      Contracts / LOIs</t>
        </is>
      </c>
      <c r="C243" s="36" t="n"/>
    </row>
    <row r="244">
      <c r="B244" s="47" t="inlineStr">
        <is>
          <t xml:space="preserve">      Negotiation</t>
        </is>
      </c>
      <c r="C244" s="36" t="n"/>
    </row>
    <row r="245">
      <c r="B245" s="47" t="inlineStr">
        <is>
          <t xml:space="preserve">      Technology</t>
        </is>
      </c>
      <c r="C245" s="36" t="n"/>
    </row>
    <row r="246">
      <c r="B246" s="47" t="inlineStr">
        <is>
          <t xml:space="preserve">      Marketing</t>
        </is>
      </c>
      <c r="C246" s="36" t="n"/>
    </row>
    <row r="247">
      <c r="B247" s="47" t="inlineStr">
        <is>
          <t xml:space="preserve">      Building a sphere</t>
        </is>
      </c>
      <c r="C247" s="36" t="n"/>
    </row>
    <row r="248">
      <c r="B248" s="47" t="inlineStr">
        <is>
          <t xml:space="preserve">      Market Center relationships</t>
        </is>
      </c>
      <c r="C248" s="36" t="n"/>
    </row>
    <row r="249">
      <c r="B249" s="47" t="inlineStr">
        <is>
          <t xml:space="preserve">      Lack of specialization</t>
        </is>
      </c>
      <c r="C249" s="36" t="n"/>
    </row>
    <row r="250">
      <c r="B250" s="47" t="inlineStr">
        <is>
          <t xml:space="preserve">      Organization / CRM</t>
        </is>
      </c>
      <c r="C250" s="36" t="n"/>
    </row>
    <row r="251">
      <c r="B251" s="47" t="inlineStr">
        <is>
          <t xml:space="preserve">      Accountability</t>
        </is>
      </c>
      <c r="C251" s="36" t="n"/>
    </row>
    <row r="252">
      <c r="B252" s="47" t="inlineStr">
        <is>
          <t xml:space="preserve">      Other (describe →)</t>
        </is>
      </c>
      <c r="C252" s="36" t="n"/>
      <c r="D252" s="28" t="n"/>
    </row>
    <row r="253" ht="48" customHeight="1">
      <c r="B253" s="43" t="inlineStr">
        <is>
          <t>What is your single biggest pain point right now?</t>
        </is>
      </c>
      <c r="C253" s="44" t="n"/>
      <c r="D253" s="28" t="n"/>
      <c r="E253" s="28" t="n"/>
      <c r="F253" t="n">
        <v>1</v>
      </c>
    </row>
    <row r="254" ht="48" customHeight="1">
      <c r="B254" s="43" t="inlineStr">
        <is>
          <t>What is one recurring problem in your business that you would like help solving?</t>
        </is>
      </c>
      <c r="C254" s="44" t="n"/>
      <c r="D254" s="28" t="n"/>
      <c r="E254" s="28" t="n"/>
      <c r="F254" t="n">
        <v>1</v>
      </c>
    </row>
    <row r="255" ht="48" customHeight="1">
      <c r="B255" s="43" t="inlineStr">
        <is>
          <t>What is something you know you should be doing but have not consistently done?</t>
        </is>
      </c>
      <c r="C255" s="44" t="n"/>
      <c r="D255" s="28" t="n"/>
      <c r="E255" s="28" t="n"/>
      <c r="F255" t="n">
        <v>1</v>
      </c>
    </row>
    <row r="257" ht="24" customHeight="1">
      <c r="A257" s="42" t="inlineStr">
        <is>
          <t>12. PRAEDIUM SUPPORT &amp; DEVELOPMENT</t>
        </is>
      </c>
    </row>
    <row r="258">
      <c r="B258" s="46" t="inlineStr">
        <is>
          <t>Area</t>
        </is>
      </c>
      <c r="C258" s="46" t="inlineStr">
        <is>
          <t>Need More Support?</t>
        </is>
      </c>
    </row>
    <row r="259">
      <c r="B259" s="47" t="inlineStr">
        <is>
          <t>Prospecting</t>
        </is>
      </c>
      <c r="C259" s="36" t="n"/>
      <c r="F259" t="n">
        <v>1</v>
      </c>
    </row>
    <row r="260">
      <c r="B260" s="47" t="inlineStr">
        <is>
          <t>Prospect Lists</t>
        </is>
      </c>
      <c r="C260" s="36" t="n"/>
      <c r="F260" t="n">
        <v>1</v>
      </c>
    </row>
    <row r="261">
      <c r="B261" s="47" t="inlineStr">
        <is>
          <t>Market Research</t>
        </is>
      </c>
      <c r="C261" s="36" t="n"/>
      <c r="F261" t="n">
        <v>1</v>
      </c>
    </row>
    <row r="262">
      <c r="B262" s="47" t="inlineStr">
        <is>
          <t>Deal Strategy</t>
        </is>
      </c>
      <c r="C262" s="36" t="n"/>
      <c r="F262" t="n">
        <v>1</v>
      </c>
    </row>
    <row r="263">
      <c r="B263" s="47" t="inlineStr">
        <is>
          <t>Underwriting</t>
        </is>
      </c>
      <c r="C263" s="36" t="n"/>
      <c r="F263" t="n">
        <v>1</v>
      </c>
    </row>
    <row r="264">
      <c r="B264" s="47" t="inlineStr">
        <is>
          <t>Contracts / LOIs</t>
        </is>
      </c>
      <c r="C264" s="36" t="n"/>
      <c r="F264" t="n">
        <v>1</v>
      </c>
    </row>
    <row r="265">
      <c r="B265" s="47" t="inlineStr">
        <is>
          <t>Negotiation</t>
        </is>
      </c>
      <c r="C265" s="36" t="n"/>
      <c r="F265" t="n">
        <v>1</v>
      </c>
    </row>
    <row r="266">
      <c r="B266" s="47" t="inlineStr">
        <is>
          <t>Listing Presentations</t>
        </is>
      </c>
      <c r="C266" s="36" t="n"/>
      <c r="F266" t="n">
        <v>1</v>
      </c>
    </row>
    <row r="267">
      <c r="B267" s="47" t="inlineStr">
        <is>
          <t>Marketing</t>
        </is>
      </c>
      <c r="C267" s="36" t="n"/>
      <c r="F267" t="n">
        <v>1</v>
      </c>
    </row>
    <row r="268">
      <c r="B268" s="47" t="inlineStr">
        <is>
          <t>Technology</t>
        </is>
      </c>
      <c r="C268" s="36" t="n"/>
      <c r="F268" t="n">
        <v>1</v>
      </c>
    </row>
    <row r="269">
      <c r="B269" s="47" t="inlineStr">
        <is>
          <t>CRM</t>
        </is>
      </c>
      <c r="C269" s="36" t="n"/>
      <c r="F269" t="n">
        <v>1</v>
      </c>
    </row>
    <row r="270">
      <c r="B270" s="47" t="inlineStr">
        <is>
          <t>Administrative Support</t>
        </is>
      </c>
      <c r="C270" s="36" t="n"/>
      <c r="F270" t="n">
        <v>1</v>
      </c>
    </row>
    <row r="271">
      <c r="B271" s="47" t="inlineStr">
        <is>
          <t>Joint Meetings / Calls</t>
        </is>
      </c>
      <c r="C271" s="36" t="n"/>
      <c r="F271" t="n">
        <v>1</v>
      </c>
    </row>
    <row r="272">
      <c r="B272" s="47" t="inlineStr">
        <is>
          <t>Mentoring</t>
        </is>
      </c>
      <c r="C272" s="36" t="n"/>
      <c r="F272" t="n">
        <v>1</v>
      </c>
    </row>
    <row r="273">
      <c r="B273" s="47" t="inlineStr">
        <is>
          <t>Accountability</t>
        </is>
      </c>
      <c r="C273" s="36" t="n"/>
      <c r="F273" t="n">
        <v>1</v>
      </c>
    </row>
    <row r="274">
      <c r="B274" s="47" t="inlineStr">
        <is>
          <t>Referrals</t>
        </is>
      </c>
      <c r="C274" s="36" t="n"/>
      <c r="F274" t="n">
        <v>1</v>
      </c>
    </row>
    <row r="275">
      <c r="B275" s="47" t="inlineStr">
        <is>
          <t>Market Center Development</t>
        </is>
      </c>
      <c r="C275" s="36" t="n"/>
      <c r="F275" t="n">
        <v>1</v>
      </c>
    </row>
    <row r="276">
      <c r="B276" s="47" t="inlineStr">
        <is>
          <t>Specialized CRE Training</t>
        </is>
      </c>
      <c r="C276" s="36" t="n"/>
      <c r="F276" t="n">
        <v>1</v>
      </c>
    </row>
    <row r="277" ht="48" customHeight="1">
      <c r="B277" s="43" t="inlineStr">
        <is>
          <t>What could Praedium do that would make the biggest difference in your business?</t>
        </is>
      </c>
      <c r="C277" s="44" t="n"/>
      <c r="D277" s="28" t="n"/>
      <c r="E277" s="28" t="n"/>
      <c r="F277" t="n">
        <v>1</v>
      </c>
    </row>
    <row r="278" ht="48" customHeight="1">
      <c r="B278" s="43" t="inlineStr">
        <is>
          <t>What do you need more of from me personally?</t>
        </is>
      </c>
      <c r="C278" s="44" t="n"/>
      <c r="D278" s="28" t="n"/>
      <c r="E278" s="28" t="n"/>
      <c r="F278" t="n">
        <v>1</v>
      </c>
    </row>
    <row r="279" ht="48" customHeight="1">
      <c r="B279" s="43" t="inlineStr">
        <is>
          <t>What should we be doing as a team that we are currently not doing?</t>
        </is>
      </c>
      <c r="C279" s="44" t="n"/>
      <c r="D279" s="28" t="n"/>
      <c r="E279" s="28" t="n"/>
      <c r="F279" t="n">
        <v>1</v>
      </c>
    </row>
    <row r="280" ht="48" customHeight="1">
      <c r="B280" s="43" t="inlineStr">
        <is>
          <t>What would you most like to learn during our biweekly meetings?</t>
        </is>
      </c>
      <c r="C280" s="44" t="n"/>
      <c r="D280" s="28" t="n"/>
      <c r="E280" s="28" t="n"/>
      <c r="F280" t="n">
        <v>1</v>
      </c>
    </row>
    <row r="282" ht="24" customHeight="1">
      <c r="A282" s="42" t="inlineStr">
        <is>
          <t>13. Q4 GOALS  (Oct 1 – Dec 31)</t>
        </is>
      </c>
    </row>
    <row r="283" ht="28" customHeight="1">
      <c r="A283" s="45" t="inlineStr">
        <is>
          <t>These goals feed your Weekly Scorecard — progress is tracked against them automatically.</t>
        </is>
      </c>
    </row>
    <row r="284">
      <c r="B284" s="43" t="inlineStr">
        <is>
          <t>Commercial Transaction Volume Goal ($)</t>
        </is>
      </c>
      <c r="C284" s="56" t="n"/>
      <c r="D284" s="28" t="n"/>
      <c r="E284" s="28" t="n"/>
      <c r="F284" t="n">
        <v>1</v>
      </c>
    </row>
    <row r="285">
      <c r="B285" s="43" t="inlineStr">
        <is>
          <t>Commercial GCI Goal ($)</t>
        </is>
      </c>
      <c r="C285" s="56" t="n"/>
      <c r="D285" s="28" t="n"/>
      <c r="E285" s="28" t="n"/>
      <c r="F285" t="n">
        <v>1</v>
      </c>
    </row>
    <row r="286">
      <c r="B286" s="43" t="inlineStr">
        <is>
          <t>Number of Closings</t>
        </is>
      </c>
      <c r="C286" s="44" t="n"/>
      <c r="D286" s="28" t="n"/>
      <c r="E286" s="28" t="n"/>
      <c r="F286" t="n">
        <v>1</v>
      </c>
    </row>
    <row r="287">
      <c r="B287" s="43" t="inlineStr">
        <is>
          <t>New Listings</t>
        </is>
      </c>
      <c r="C287" s="44" t="n"/>
      <c r="D287" s="28" t="n"/>
      <c r="E287" s="28" t="n"/>
      <c r="F287" t="n">
        <v>1</v>
      </c>
    </row>
    <row r="288">
      <c r="B288" s="43" t="inlineStr">
        <is>
          <t>New Buyer / Tenant Assignments</t>
        </is>
      </c>
      <c r="C288" s="44" t="n"/>
      <c r="D288" s="28" t="n"/>
      <c r="E288" s="28" t="n"/>
      <c r="F288" t="n">
        <v>1</v>
      </c>
    </row>
    <row r="289">
      <c r="B289" s="43" t="inlineStr">
        <is>
          <t>Qualified Opportunities Created</t>
        </is>
      </c>
      <c r="C289" s="44" t="n"/>
      <c r="D289" s="28" t="n"/>
      <c r="E289" s="28" t="n"/>
      <c r="F289" t="n">
        <v>1</v>
      </c>
    </row>
    <row r="290">
      <c r="B290" s="43" t="inlineStr">
        <is>
          <t>Meetings Per Month</t>
        </is>
      </c>
      <c r="C290" s="44" t="n"/>
      <c r="D290" s="28" t="n"/>
      <c r="E290" s="28" t="n"/>
      <c r="F290" t="n">
        <v>1</v>
      </c>
    </row>
    <row r="291" ht="48" customHeight="1">
      <c r="B291" s="43" t="inlineStr">
        <is>
          <t>The three most important things you want to accomplish before December 31:</t>
        </is>
      </c>
      <c r="C291" s="44" t="n"/>
      <c r="D291" s="28" t="n"/>
      <c r="E291" s="28" t="n"/>
      <c r="F291" t="n">
        <v>1</v>
      </c>
    </row>
    <row r="293" ht="24" customHeight="1">
      <c r="A293" s="42" t="inlineStr">
        <is>
          <t>14. 2027 GOALS</t>
        </is>
      </c>
    </row>
    <row r="294">
      <c r="B294" s="43" t="inlineStr">
        <is>
          <t>2027 Commercial Volume Goal ($)</t>
        </is>
      </c>
      <c r="C294" s="56" t="n"/>
      <c r="D294" s="28" t="n"/>
      <c r="E294" s="28" t="n"/>
      <c r="F294" t="n">
        <v>1</v>
      </c>
    </row>
    <row r="295">
      <c r="B295" s="43" t="inlineStr">
        <is>
          <t>2027 Commercial GCI Goal ($)</t>
        </is>
      </c>
      <c r="C295" s="56" t="n"/>
      <c r="D295" s="28" t="n"/>
      <c r="E295" s="28" t="n"/>
      <c r="F295" t="n">
        <v>1</v>
      </c>
    </row>
    <row r="296">
      <c r="B296" s="43" t="inlineStr">
        <is>
          <t>Transactions Closed</t>
        </is>
      </c>
      <c r="C296" s="44" t="n"/>
      <c r="D296" s="28" t="n"/>
      <c r="E296" s="28" t="n"/>
      <c r="F296" t="n">
        <v>1</v>
      </c>
    </row>
    <row r="297">
      <c r="B297" s="43" t="inlineStr">
        <is>
          <t>Listings Obtained</t>
        </is>
      </c>
      <c r="C297" s="44" t="n"/>
      <c r="D297" s="28" t="n"/>
      <c r="E297" s="28" t="n"/>
      <c r="F297" t="n">
        <v>1</v>
      </c>
    </row>
    <row r="298">
      <c r="B298" s="43" t="inlineStr">
        <is>
          <t>Primary Geography</t>
        </is>
      </c>
      <c r="C298" s="44" t="n"/>
      <c r="D298" s="28" t="n"/>
      <c r="E298" s="28" t="n"/>
      <c r="F298" t="n">
        <v>1</v>
      </c>
    </row>
    <row r="299">
      <c r="B299" s="43" t="inlineStr">
        <is>
          <t>Primary Product Type</t>
        </is>
      </c>
      <c r="C299" s="44" t="n"/>
      <c r="D299" s="28" t="n"/>
      <c r="E299" s="28" t="n"/>
      <c r="F299" t="n">
        <v>1</v>
      </c>
    </row>
    <row r="300">
      <c r="B300" s="43" t="inlineStr">
        <is>
          <t>What % of your business would you LIKE to be commercial by the end of 2027?</t>
        </is>
      </c>
      <c r="C300" s="57" t="n"/>
      <c r="D300" s="28" t="n"/>
      <c r="E300" s="28" t="n"/>
      <c r="F300" t="n">
        <v>1</v>
      </c>
    </row>
    <row r="301" ht="48" customHeight="1">
      <c r="B301" s="43" t="inlineStr">
        <is>
          <t>What would a successful 2027 look like to you?</t>
        </is>
      </c>
      <c r="C301" s="44" t="n"/>
      <c r="D301" s="28" t="n"/>
      <c r="E301" s="28" t="n"/>
      <c r="F301" t="n">
        <v>1</v>
      </c>
    </row>
    <row r="302" ht="48" customHeight="1">
      <c r="B302" s="43" t="inlineStr">
        <is>
          <t>What would need to change between now and then for that to happen?</t>
        </is>
      </c>
      <c r="C302" s="44" t="n"/>
      <c r="D302" s="28" t="n"/>
      <c r="E302" s="28" t="n"/>
      <c r="F302" t="n">
        <v>1</v>
      </c>
    </row>
    <row r="304" ht="24" customHeight="1">
      <c r="A304" s="42" t="inlineStr">
        <is>
          <t>15. YOUR NEXT 90 DAYS</t>
        </is>
      </c>
    </row>
    <row r="305" ht="48" customHeight="1">
      <c r="B305" s="43" t="inlineStr">
        <is>
          <t>One thing I need to STOP doing:</t>
        </is>
      </c>
      <c r="C305" s="44" t="n"/>
      <c r="D305" s="28" t="n"/>
      <c r="E305" s="28" t="n"/>
      <c r="F305" t="n">
        <v>1</v>
      </c>
    </row>
    <row r="306" ht="48" customHeight="1">
      <c r="B306" s="43" t="inlineStr">
        <is>
          <t>One thing I need to START doing:</t>
        </is>
      </c>
      <c r="C306" s="44" t="n"/>
      <c r="D306" s="28" t="n"/>
      <c r="E306" s="28" t="n"/>
      <c r="F306" t="n">
        <v>1</v>
      </c>
    </row>
    <row r="307" ht="48" customHeight="1">
      <c r="B307" s="43" t="inlineStr">
        <is>
          <t>One thing I need to CONTINUE doing:</t>
        </is>
      </c>
      <c r="C307" s="44" t="n"/>
      <c r="D307" s="28" t="n"/>
      <c r="E307" s="28" t="n"/>
      <c r="F307" t="n">
        <v>1</v>
      </c>
    </row>
    <row r="308" ht="48" customHeight="1">
      <c r="B308" s="43" t="inlineStr">
        <is>
          <t>My primary prospecting strategy will be:</t>
        </is>
      </c>
      <c r="C308" s="44" t="n"/>
      <c r="D308" s="28" t="n"/>
      <c r="E308" s="28" t="n"/>
      <c r="F308" t="n">
        <v>1</v>
      </c>
    </row>
    <row r="309" ht="48" customHeight="1">
      <c r="B309" s="43" t="inlineStr">
        <is>
          <t>My primary market / product focus will be:</t>
        </is>
      </c>
      <c r="C309" s="44" t="n"/>
      <c r="D309" s="28" t="n"/>
      <c r="E309" s="28" t="n"/>
      <c r="F309" t="n">
        <v>1</v>
      </c>
    </row>
    <row r="310" ht="48" customHeight="1">
      <c r="B310" s="43" t="inlineStr">
        <is>
          <t>The biggest improvement I want to make over the next 90 days is:</t>
        </is>
      </c>
      <c r="C310" s="44" t="n"/>
      <c r="D310" s="28" t="n"/>
      <c r="E310" s="28" t="n"/>
      <c r="F310" t="n">
        <v>1</v>
      </c>
    </row>
    <row r="311" ht="48" customHeight="1">
      <c r="B311" s="43" t="inlineStr">
        <is>
          <t>One commitment I am making to myself before our next meeting:</t>
        </is>
      </c>
      <c r="C311" s="44" t="n"/>
      <c r="D311" s="28" t="n"/>
      <c r="E311" s="28" t="n"/>
      <c r="F311" t="n">
        <v>1</v>
      </c>
    </row>
  </sheetData>
  <mergeCells count="123">
    <mergeCell ref="C44:E44"/>
    <mergeCell ref="C255:E255"/>
    <mergeCell ref="C80:E80"/>
    <mergeCell ref="A1:E1"/>
    <mergeCell ref="C192:E192"/>
    <mergeCell ref="C51:E51"/>
    <mergeCell ref="C297:E297"/>
    <mergeCell ref="C299:E299"/>
    <mergeCell ref="C7:E7"/>
    <mergeCell ref="A282:E282"/>
    <mergeCell ref="C155:E155"/>
    <mergeCell ref="C307:E307"/>
    <mergeCell ref="C18:E18"/>
    <mergeCell ref="C49:E49"/>
    <mergeCell ref="C285:E285"/>
    <mergeCell ref="A194:E194"/>
    <mergeCell ref="C77:E77"/>
    <mergeCell ref="C157:E157"/>
    <mergeCell ref="C151:E151"/>
    <mergeCell ref="C284:E284"/>
    <mergeCell ref="C74:E74"/>
    <mergeCell ref="A293:E293"/>
    <mergeCell ref="C309:E309"/>
    <mergeCell ref="D148:E148"/>
    <mergeCell ref="C20:E20"/>
    <mergeCell ref="C112:E112"/>
    <mergeCell ref="A83:E83"/>
    <mergeCell ref="C75:E75"/>
    <mergeCell ref="C311:E311"/>
    <mergeCell ref="C130:E130"/>
    <mergeCell ref="C12:E12"/>
    <mergeCell ref="C295:E295"/>
    <mergeCell ref="C46:E46"/>
    <mergeCell ref="C52:E52"/>
    <mergeCell ref="C70:E70"/>
    <mergeCell ref="C159:E159"/>
    <mergeCell ref="C48:E48"/>
    <mergeCell ref="C81:E81"/>
    <mergeCell ref="C38:E38"/>
    <mergeCell ref="C296:E296"/>
    <mergeCell ref="C131:E131"/>
    <mergeCell ref="C298:E298"/>
    <mergeCell ref="A5:E5"/>
    <mergeCell ref="A14:E14"/>
    <mergeCell ref="C116:E116"/>
    <mergeCell ref="C156:E156"/>
    <mergeCell ref="C79:E79"/>
    <mergeCell ref="C73:E73"/>
    <mergeCell ref="D129:E129"/>
    <mergeCell ref="D252:E252"/>
    <mergeCell ref="C302:E302"/>
    <mergeCell ref="A40:E40"/>
    <mergeCell ref="C10:E10"/>
    <mergeCell ref="C16:E16"/>
    <mergeCell ref="C305:E305"/>
    <mergeCell ref="C50:E50"/>
    <mergeCell ref="C173:E173"/>
    <mergeCell ref="C286:E286"/>
    <mergeCell ref="C301:E301"/>
    <mergeCell ref="C9:E9"/>
    <mergeCell ref="A228:E228"/>
    <mergeCell ref="C115:E115"/>
    <mergeCell ref="C300:E300"/>
    <mergeCell ref="C11:E11"/>
    <mergeCell ref="C278:E278"/>
    <mergeCell ref="C287:E287"/>
    <mergeCell ref="C150:E150"/>
    <mergeCell ref="A84:E84"/>
    <mergeCell ref="C158:E158"/>
    <mergeCell ref="C67:E67"/>
    <mergeCell ref="C289:E289"/>
    <mergeCell ref="C190:E190"/>
    <mergeCell ref="D171:E171"/>
    <mergeCell ref="A2:E2"/>
    <mergeCell ref="C69:E69"/>
    <mergeCell ref="C254:E254"/>
    <mergeCell ref="C78:E78"/>
    <mergeCell ref="C6:E6"/>
    <mergeCell ref="C191:E191"/>
    <mergeCell ref="C225:E225"/>
    <mergeCell ref="A72:E72"/>
    <mergeCell ref="A134:E134"/>
    <mergeCell ref="C172:E172"/>
    <mergeCell ref="C306:E306"/>
    <mergeCell ref="A176:E176"/>
    <mergeCell ref="A114:E114"/>
    <mergeCell ref="C226:E226"/>
    <mergeCell ref="A15:E15"/>
    <mergeCell ref="C277:E277"/>
    <mergeCell ref="A257:E257"/>
    <mergeCell ref="A304:E304"/>
    <mergeCell ref="C291:E291"/>
    <mergeCell ref="C43:E43"/>
    <mergeCell ref="C188:E188"/>
    <mergeCell ref="C76:E76"/>
    <mergeCell ref="C132:E132"/>
    <mergeCell ref="C110:E110"/>
    <mergeCell ref="A177:E177"/>
    <mergeCell ref="A41:E41"/>
    <mergeCell ref="C8:E8"/>
    <mergeCell ref="A283:E283"/>
    <mergeCell ref="C17:E17"/>
    <mergeCell ref="C253:E253"/>
    <mergeCell ref="C174:E174"/>
    <mergeCell ref="C149:E149"/>
    <mergeCell ref="A154:E154"/>
    <mergeCell ref="C280:E280"/>
    <mergeCell ref="C66:E66"/>
    <mergeCell ref="C308:E308"/>
    <mergeCell ref="C19:E19"/>
    <mergeCell ref="C189:E189"/>
    <mergeCell ref="A195:E195"/>
    <mergeCell ref="C111:E111"/>
    <mergeCell ref="C68:E68"/>
    <mergeCell ref="C310:E310"/>
    <mergeCell ref="C279:E279"/>
    <mergeCell ref="C288:E288"/>
    <mergeCell ref="C294:E294"/>
    <mergeCell ref="C45:E45"/>
    <mergeCell ref="C290:E290"/>
    <mergeCell ref="C152:E152"/>
    <mergeCell ref="C109:E109"/>
    <mergeCell ref="C47:E47"/>
  </mergeCells>
  <dataValidations count="20">
    <dataValidation sqref="C9" showDropDown="0" showInputMessage="0" showErrorMessage="0" allowBlank="1" type="list">
      <formula1>"Primarily Commercial,Primarily Residential,Mix of Commercial and Residential,New to Real Estate,Building My Commercial Business,Other"</formula1>
    </dataValidation>
    <dataValidation sqref="C11" showDropDown="0" showInputMessage="0" showErrorMessage="0" allowBlank="1" type="list">
      <formula1>"Yes,No,Transitioning toward it"</formula1>
    </dataValidation>
    <dataValidation sqref="C20" showDropDown="0" showInputMessage="0" showErrorMessage="0" allowBlank="1" type="list">
      <formula1>"Yes,Somewhat,No"</formula1>
    </dataValidation>
    <dataValidation sqref="C23:C29" showDropDown="0" showInputMessage="0" showErrorMessage="0" allowBlank="1" type="list">
      <formula1>"Yes,No"</formula1>
    </dataValidation>
    <dataValidation sqref="C73" showDropDown="0" showInputMessage="0" showErrorMessage="0" allowBlank="1" type="list">
      <formula1>"Almost always,Sometimes,Rarely,Never"</formula1>
    </dataValidation>
    <dataValidation sqref="C74" showDropDown="0" showInputMessage="0" showErrorMessage="0" allowBlank="1" type="list">
      <formula1>"Yes,Somewhat,No"</formula1>
    </dataValidation>
    <dataValidation sqref="C75" showDropDown="0" showInputMessage="0" showErrorMessage="0" allowBlank="1" type="list">
      <formula1>"Yes,Sometimes,No"</formula1>
    </dataValidation>
    <dataValidation sqref="C86:C108" showDropDown="0" showInputMessage="0" showErrorMessage="0" allowBlank="1" type="list">
      <formula1>"0,1,2,3,4,5"</formula1>
    </dataValidation>
    <dataValidation sqref="D86:D108" showDropDown="0" showInputMessage="0" showErrorMessage="0" allowBlank="1" type="list">
      <formula1>"Yes,No"</formula1>
    </dataValidation>
    <dataValidation sqref="C116" showDropDown="0" showInputMessage="0" showErrorMessage="0" allowBlank="1" type="list">
      <formula1>"Very few,Some,Most,Nearly all,Unsure"</formula1>
    </dataValidation>
    <dataValidation sqref="C118:C129" showDropDown="0" showInputMessage="0" showErrorMessage="0" allowBlank="1" type="list">
      <formula1>"Yes,No"</formula1>
    </dataValidation>
    <dataValidation sqref="C136:C148" showDropDown="0" showInputMessage="0" showErrorMessage="0" allowBlank="1" type="list">
      <formula1>"Yes,No"</formula1>
    </dataValidation>
    <dataValidation sqref="C150" showDropDown="0" showInputMessage="0" showErrorMessage="0" allowBlank="1" type="list">
      <formula1>"Weekly,Monthly,Quarterly,Occasionally,Almost never"</formula1>
    </dataValidation>
    <dataValidation sqref="C155" showDropDown="0" showInputMessage="0" showErrorMessage="0" allowBlank="1" type="list">
      <formula1>"Yes,Somewhat,No,Still determining it"</formula1>
    </dataValidation>
    <dataValidation sqref="C156" showDropDown="0" showInputMessage="0" showErrorMessage="0" allowBlank="1" type="list">
      <formula1>"Yes,No"</formula1>
    </dataValidation>
    <dataValidation sqref="C161:C171" showDropDown="0" showInputMessage="0" showErrorMessage="0" allowBlank="1" type="list">
      <formula1>"Yes,No"</formula1>
    </dataValidation>
    <dataValidation sqref="C192" showDropDown="0" showInputMessage="0" showErrorMessage="0" allowBlank="1" type="list">
      <formula1>"Yes,Approximately,No"</formula1>
    </dataValidation>
    <dataValidation sqref="C197:C224" showDropDown="0" showInputMessage="0" showErrorMessage="0" allowBlank="1" type="list">
      <formula1>"1,2,3,4,5"</formula1>
    </dataValidation>
    <dataValidation sqref="C230:C252" showDropDown="0" showInputMessage="0" showErrorMessage="0" allowBlank="1" type="list">
      <formula1>"Yes,No"</formula1>
    </dataValidation>
    <dataValidation sqref="C259:C2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A5F"/>
    <outlinePr summaryBelow="1" summaryRight="1"/>
    <pageSetUpPr/>
  </sheetPr>
  <dimension ref="A1:Z8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  <col width="12" customWidth="1" min="15" max="15"/>
    <col width="9" customWidth="1" min="16" max="16"/>
    <col width="10" customWidth="1" min="17" max="17"/>
    <col width="9" customWidth="1" min="18" max="18"/>
    <col width="13" customWidth="1" min="19" max="19"/>
    <col width="12" customWidth="1" min="20" max="20"/>
    <col width="14" customWidth="1" min="21" max="21"/>
    <col width="30" customWidth="1" min="22" max="22"/>
    <col width="30" customWidth="1" min="23" max="23"/>
    <col width="30" customWidth="1" min="24" max="24"/>
    <col width="17" customWidth="1" min="25" max="25"/>
    <col width="12" customWidth="1" min="26" max="26"/>
  </cols>
  <sheetData>
    <row r="1" ht="34" customHeight="1">
      <c r="A1" s="1">
        <f>IF('Settings'!B19="","Agent 6",'Settings'!B19)&amp;" — Weekly Score Card"</f>
        <v/>
      </c>
    </row>
    <row r="2" ht="30" customHeight="1">
      <c r="A2" s="5" t="inlineStr">
        <is>
          <t>Fill in your row for the current week by Friday end of day (yellow cells). Estimates are fine. “Follow-Ups Outstanding” and “Pipeline Potential GCI” are snapshots as of the end of the week; everything else is what happened that week. Q4 progress below updates automatically.</t>
        </is>
      </c>
    </row>
    <row r="4">
      <c r="A4" s="30" t="inlineStr">
        <is>
          <t>Q4 2026 PROGRESS  (goals come from Section 13 of your Assessment)</t>
        </is>
      </c>
      <c r="H4" s="2" t="inlineStr">
        <is>
          <t>ACCOUNTABILITY</t>
        </is>
      </c>
    </row>
    <row r="5">
      <c r="A5" s="8" t="inlineStr">
        <is>
          <t>Metric</t>
        </is>
      </c>
      <c r="B5" s="31" t="n"/>
      <c r="C5" s="8" t="inlineStr">
        <is>
          <t>Q4 Goal</t>
        </is>
      </c>
      <c r="D5" s="8" t="inlineStr">
        <is>
          <t>Q4 Actual</t>
        </is>
      </c>
      <c r="E5" s="8" t="inlineStr">
        <is>
          <t>% to Goal</t>
        </is>
      </c>
      <c r="F5" s="8" t="inlineStr">
        <is>
          <t>On Pace?</t>
        </is>
      </c>
      <c r="H5" s="3" t="inlineStr">
        <is>
          <t>Weeks updated</t>
        </is>
      </c>
      <c r="K5" s="32">
        <f>COUNTIFS($A$15:$A$80,"&lt;="&amp;TODAY(),$Y$15:$Y$80,"&lt;&gt;")</f>
        <v/>
      </c>
    </row>
    <row r="6">
      <c r="A6" s="33" t="inlineStr">
        <is>
          <t>Commercial GCI</t>
        </is>
      </c>
      <c r="B6" s="34" t="n"/>
      <c r="C6" s="12">
        <f>IF('Agent 6 Assessment'!C285="","",'Agent 6 Assessment'!C285)</f>
        <v/>
      </c>
      <c r="D6" s="12">
        <f>SUMIFS($T$15:$T$80,$A$15:$A$80,"&gt;="&amp;DATE(2026,9,28),$A$15:$A$80,"&lt;="&amp;DATE(2026,12,31))</f>
        <v/>
      </c>
      <c r="E6" s="10">
        <f>IFERROR(D6/C6,"")</f>
        <v/>
      </c>
      <c r="F6" s="11">
        <f>IF(C6="","Set goal",IF(D6&gt;=C6*MAX(0,MIN(1,(TODAY()-DATE(2026,10,1))/(DATE(2026,12,31)-DATE(2026,10,1)))),"On pace","Behind"))</f>
        <v/>
      </c>
      <c r="H6" s="3" t="inlineStr">
        <is>
          <t>Weeks elapsed</t>
        </is>
      </c>
      <c r="K6" s="32">
        <f>COUNTIFS($A$15:$A$80,"&lt;="&amp;TODAY())</f>
        <v/>
      </c>
    </row>
    <row r="7">
      <c r="A7" s="33" t="inlineStr">
        <is>
          <t>Transaction Volume</t>
        </is>
      </c>
      <c r="B7" s="34" t="n"/>
      <c r="C7" s="12">
        <f>IF('Agent 6 Assessment'!C284="","",'Agent 6 Assessment'!C284)</f>
        <v/>
      </c>
      <c r="D7" s="12">
        <f>SUMIFS($S$15:$S$80,$A$15:$A$80,"&gt;="&amp;DATE(2026,9,28),$A$15:$A$80,"&lt;="&amp;DATE(2026,12,31))</f>
        <v/>
      </c>
      <c r="E7" s="10">
        <f>IFERROR(D7/C7,"")</f>
        <v/>
      </c>
      <c r="F7" s="11">
        <f>IF(C7="","Set goal",IF(D7&gt;=C7*MAX(0,MIN(1,(TODAY()-DATE(2026,10,1))/(DATE(2026,12,31)-DATE(2026,10,1)))),"On pace","Behind"))</f>
        <v/>
      </c>
      <c r="H7" s="3" t="inlineStr">
        <is>
          <t>Consistency</t>
        </is>
      </c>
      <c r="K7" s="17">
        <f>IFERROR(K5/K6,0)</f>
        <v/>
      </c>
    </row>
    <row r="8">
      <c r="A8" s="33" t="inlineStr">
        <is>
          <t>Closings</t>
        </is>
      </c>
      <c r="B8" s="34" t="n"/>
      <c r="C8" s="11">
        <f>IF('Agent 6 Assessment'!C286="","",'Agent 6 Assessment'!C286)</f>
        <v/>
      </c>
      <c r="D8" s="11">
        <f>SUMIFS($R$15:$R$80,$A$15:$A$80,"&gt;="&amp;DATE(2026,9,28),$A$15:$A$80,"&lt;="&amp;DATE(2026,12,31))</f>
        <v/>
      </c>
      <c r="E8" s="10">
        <f>IFERROR(D8/C8,"")</f>
        <v/>
      </c>
      <c r="F8" s="11">
        <f>IF(C8="","Set goal",IF(D8&gt;=C8*MAX(0,MIN(1,(TODAY()-DATE(2026,10,1))/(DATE(2026,12,31)-DATE(2026,10,1)))),"On pace","Behind"))</f>
        <v/>
      </c>
      <c r="H8" s="3" t="inlineStr">
        <is>
          <t>Avg calls / week</t>
        </is>
      </c>
      <c r="K8" s="20">
        <f>IFERROR(AVERAGEIFS($F$15:$F$80,$A$15:$A$80,"&lt;="&amp;TODAY(),$F$15:$F$80,"&lt;&gt;"),0)</f>
        <v/>
      </c>
    </row>
    <row r="9">
      <c r="A9" s="33" t="inlineStr">
        <is>
          <t>New Listings</t>
        </is>
      </c>
      <c r="B9" s="34" t="n"/>
      <c r="C9" s="11">
        <f>IF('Agent 6 Assessment'!C287="","",'Agent 6 Assessment'!C287)</f>
        <v/>
      </c>
      <c r="D9" s="11">
        <f>SUMIFS($N$15:$N$80,$A$15:$A$80,"&gt;="&amp;DATE(2026,9,28),$A$15:$A$80,"&lt;="&amp;DATE(2026,12,31))</f>
        <v/>
      </c>
      <c r="E9" s="10">
        <f>IFERROR(D9/C9,"")</f>
        <v/>
      </c>
      <c r="F9" s="11">
        <f>IF(C9="","Set goal",IF(D9&gt;=C9*MAX(0,MIN(1,(TODAY()-DATE(2026,10,1))/(DATE(2026,12,31)-DATE(2026,10,1)))),"On pace","Behind"))</f>
        <v/>
      </c>
      <c r="H9" s="3" t="inlineStr">
        <is>
          <t>Avg meetings / week</t>
        </is>
      </c>
      <c r="K9" s="20">
        <f>IFERROR(AVERAGEIFS($H$15:$H$80,$A$15:$A$80,"&lt;="&amp;TODAY(),$H$15:$H$80,"&lt;&gt;"),0)</f>
        <v/>
      </c>
    </row>
    <row r="10">
      <c r="A10" s="33" t="inlineStr">
        <is>
          <t>New Buyer / Tenant Assignments</t>
        </is>
      </c>
      <c r="B10" s="34" t="n"/>
      <c r="C10" s="11">
        <f>IF('Agent 6 Assessment'!C288="","",'Agent 6 Assessment'!C288)</f>
        <v/>
      </c>
      <c r="D10" s="11">
        <f>SUMIFS($O$15:$O$80,$A$15:$A$80,"&gt;="&amp;DATE(2026,9,28),$A$15:$A$80,"&lt;="&amp;DATE(2026,12,31))</f>
        <v/>
      </c>
      <c r="E10" s="10">
        <f>IFERROR(D10/C10,"")</f>
        <v/>
      </c>
      <c r="F10" s="11">
        <f>IF(C10="","Set goal",IF(D10&gt;=C10*MAX(0,MIN(1,(TODAY()-DATE(2026,10,1))/(DATE(2026,12,31)-DATE(2026,10,1)))),"On pace","Behind"))</f>
        <v/>
      </c>
      <c r="H10" s="3" t="inlineStr">
        <is>
          <t>Latest pipeline GCI</t>
        </is>
      </c>
      <c r="K10" s="19">
        <f>IFERROR(INDEX($U$15:$U$80,MATCH(1E+100,$U$15:$U$80)),"")</f>
        <v/>
      </c>
    </row>
    <row r="11">
      <c r="A11" s="33" t="inlineStr">
        <is>
          <t>Qualified Opportunities Created</t>
        </is>
      </c>
      <c r="B11" s="34" t="n"/>
      <c r="C11" s="11">
        <f>IF('Agent 6 Assessment'!C289="","",'Agent 6 Assessment'!C289)</f>
        <v/>
      </c>
      <c r="D11" s="11">
        <f>SUMIFS($I$15:$I$80,$A$15:$A$80,"&gt;="&amp;DATE(2026,9,28),$A$15:$A$80,"&lt;="&amp;DATE(2026,12,31))</f>
        <v/>
      </c>
      <c r="E11" s="10">
        <f>IFERROR(D11/C11,"")</f>
        <v/>
      </c>
      <c r="F11" s="11">
        <f>IF(C11="","Set goal",IF(D11&gt;=C11*MAX(0,MIN(1,(TODAY()-DATE(2026,10,1))/(DATE(2026,12,31)-DATE(2026,10,1)))),"On pace","Behind"))</f>
        <v/>
      </c>
      <c r="H11" s="3" t="inlineStr">
        <is>
          <t>Assessment complete</t>
        </is>
      </c>
      <c r="K11" s="17">
        <f>'Agent 6 Assessment'!C3</f>
        <v/>
      </c>
    </row>
    <row r="12">
      <c r="A12" s="33" t="inlineStr">
        <is>
          <t>Meetings (goal = per month × 3)</t>
        </is>
      </c>
      <c r="B12" s="34" t="n"/>
      <c r="C12" s="11">
        <f>IF('Agent 6 Assessment'!C290="","",'Agent 6 Assessment'!C290*3)</f>
        <v/>
      </c>
      <c r="D12" s="11">
        <f>SUMIFS($H$15:$H$80,$A$15:$A$80,"&gt;="&amp;DATE(2026,9,28),$A$15:$A$80,"&lt;="&amp;DATE(2026,12,31))</f>
        <v/>
      </c>
      <c r="E12" s="10">
        <f>IFERROR(D12/C12,"")</f>
        <v/>
      </c>
      <c r="F12" s="11">
        <f>IF(C12="","Set goal",IF(D12&gt;=C12*MAX(0,MIN(1,(TODAY()-DATE(2026,10,1))/(DATE(2026,12,31)-DATE(2026,10,1)))),"On pace","Behind"))</f>
        <v/>
      </c>
    </row>
    <row r="14" ht="48" customHeight="1">
      <c r="A14" s="8" t="inlineStr">
        <is>
          <t>Week Of (Mon)</t>
        </is>
      </c>
      <c r="B14" s="8" t="inlineStr">
        <is>
          <t>Days Worked</t>
        </is>
      </c>
      <c r="C14" s="8" t="inlineStr">
        <is>
          <t>Total RE Hours</t>
        </is>
      </c>
      <c r="D14" s="8" t="inlineStr">
        <is>
          <t>Commercial Hours</t>
        </is>
      </c>
      <c r="E14" s="8" t="inlineStr">
        <is>
          <t>Prospecting Hours</t>
        </is>
      </c>
      <c r="F14" s="8" t="inlineStr">
        <is>
          <t>Calls / Outreach Attempts</t>
        </is>
      </c>
      <c r="G14" s="8" t="inlineStr">
        <is>
          <t>Decision-Maker Conversations</t>
        </is>
      </c>
      <c r="H14" s="8" t="inlineStr">
        <is>
          <t>Prospect / Client Meetings</t>
        </is>
      </c>
      <c r="I14" s="8" t="inlineStr">
        <is>
          <t>New Opportunities Created</t>
        </is>
      </c>
      <c r="J14" s="8" t="inlineStr">
        <is>
          <t>New Database Contacts</t>
        </is>
      </c>
      <c r="K14" s="8" t="inlineStr">
        <is>
          <t>Follow-Ups Outstanding</t>
        </is>
      </c>
      <c r="L14" s="8" t="inlineStr">
        <is>
          <t>Market Center Agent Conversations</t>
        </is>
      </c>
      <c r="M14" s="8" t="inlineStr">
        <is>
          <t>Sphere Touches</t>
        </is>
      </c>
      <c r="N14" s="8" t="inlineStr">
        <is>
          <t>New Listings</t>
        </is>
      </c>
      <c r="O14" s="8" t="inlineStr">
        <is>
          <t>New Buyer / Tenant Assignments</t>
        </is>
      </c>
      <c r="P14" s="8" t="inlineStr">
        <is>
          <t>LOIs Submitted</t>
        </is>
      </c>
      <c r="Q14" s="8" t="inlineStr">
        <is>
          <t>Went Under Contract</t>
        </is>
      </c>
      <c r="R14" s="8" t="inlineStr">
        <is>
          <t>Closings</t>
        </is>
      </c>
      <c r="S14" s="8" t="inlineStr">
        <is>
          <t>Volume Closed ($)</t>
        </is>
      </c>
      <c r="T14" s="8" t="inlineStr">
        <is>
          <t>GCI Closed ($)</t>
        </is>
      </c>
      <c r="U14" s="8" t="inlineStr">
        <is>
          <t>Pipeline Potential GCI ($)</t>
        </is>
      </c>
      <c r="V14" s="8" t="inlineStr">
        <is>
          <t>Win of the Week</t>
        </is>
      </c>
      <c r="W14" s="8" t="inlineStr">
        <is>
          <t>Biggest Obstacle</t>
        </is>
      </c>
      <c r="X14" s="8" t="inlineStr">
        <is>
          <t>#1 Focus Next Week</t>
        </is>
      </c>
      <c r="Y14" s="8" t="inlineStr">
        <is>
          <t>Last Updated (auto)</t>
        </is>
      </c>
      <c r="Z14" s="8" t="inlineStr">
        <is>
          <t>Status</t>
        </is>
      </c>
    </row>
    <row r="15">
      <c r="A15" s="35" t="n">
        <v>46293</v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7" t="n"/>
      <c r="T15" s="37" t="n"/>
      <c r="U15" s="37" t="n"/>
      <c r="V15" s="38" t="n"/>
      <c r="W15" s="38" t="n"/>
      <c r="X15" s="38" t="n"/>
      <c r="Y15" s="39" t="n"/>
      <c r="Z15" s="11">
        <f>IF(A15&gt;TODAY(),"Upcoming",IF(Y15&lt;&gt;"","✓ Updated",IF(A15+6&gt;=TODAY(),"Due Friday","⚠ Missing")))</f>
        <v/>
      </c>
    </row>
    <row r="16">
      <c r="A16" s="35" t="n">
        <v>46300</v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7" t="n"/>
      <c r="T16" s="37" t="n"/>
      <c r="U16" s="37" t="n"/>
      <c r="V16" s="38" t="n"/>
      <c r="W16" s="38" t="n"/>
      <c r="X16" s="38" t="n"/>
      <c r="Y16" s="39" t="n"/>
      <c r="Z16" s="11">
        <f>IF(A16&gt;TODAY(),"Upcoming",IF(Y16&lt;&gt;"","✓ Updated",IF(A16+6&gt;=TODAY(),"Due Friday","⚠ Missing")))</f>
        <v/>
      </c>
    </row>
    <row r="17">
      <c r="A17" s="35" t="n">
        <v>46307</v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7" t="n"/>
      <c r="T17" s="37" t="n"/>
      <c r="U17" s="37" t="n"/>
      <c r="V17" s="38" t="n"/>
      <c r="W17" s="38" t="n"/>
      <c r="X17" s="38" t="n"/>
      <c r="Y17" s="39" t="n"/>
      <c r="Z17" s="11">
        <f>IF(A17&gt;TODAY(),"Upcoming",IF(Y17&lt;&gt;"","✓ Updated",IF(A17+6&gt;=TODAY(),"Due Friday","⚠ Missing")))</f>
        <v/>
      </c>
    </row>
    <row r="18">
      <c r="A18" s="35" t="n">
        <v>46314</v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7" t="n"/>
      <c r="T18" s="37" t="n"/>
      <c r="U18" s="37" t="n"/>
      <c r="V18" s="38" t="n"/>
      <c r="W18" s="38" t="n"/>
      <c r="X18" s="38" t="n"/>
      <c r="Y18" s="39" t="n"/>
      <c r="Z18" s="11">
        <f>IF(A18&gt;TODAY(),"Upcoming",IF(Y18&lt;&gt;"","✓ Updated",IF(A18+6&gt;=TODAY(),"Due Friday","⚠ Missing")))</f>
        <v/>
      </c>
    </row>
    <row r="19">
      <c r="A19" s="35" t="n">
        <v>46321</v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7" t="n"/>
      <c r="T19" s="37" t="n"/>
      <c r="U19" s="37" t="n"/>
      <c r="V19" s="38" t="n"/>
      <c r="W19" s="38" t="n"/>
      <c r="X19" s="38" t="n"/>
      <c r="Y19" s="39" t="n"/>
      <c r="Z19" s="11">
        <f>IF(A19&gt;TODAY(),"Upcoming",IF(Y19&lt;&gt;"","✓ Updated",IF(A19+6&gt;=TODAY(),"Due Friday","⚠ Missing")))</f>
        <v/>
      </c>
    </row>
    <row r="20">
      <c r="A20" s="35" t="n">
        <v>46328</v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7" t="n"/>
      <c r="T20" s="37" t="n"/>
      <c r="U20" s="37" t="n"/>
      <c r="V20" s="38" t="n"/>
      <c r="W20" s="38" t="n"/>
      <c r="X20" s="38" t="n"/>
      <c r="Y20" s="39" t="n"/>
      <c r="Z20" s="11">
        <f>IF(A20&gt;TODAY(),"Upcoming",IF(Y20&lt;&gt;"","✓ Updated",IF(A20+6&gt;=TODAY(),"Due Friday","⚠ Missing")))</f>
        <v/>
      </c>
    </row>
    <row r="21">
      <c r="A21" s="35" t="n">
        <v>46335</v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7" t="n"/>
      <c r="T21" s="37" t="n"/>
      <c r="U21" s="37" t="n"/>
      <c r="V21" s="38" t="n"/>
      <c r="W21" s="38" t="n"/>
      <c r="X21" s="38" t="n"/>
      <c r="Y21" s="39" t="n"/>
      <c r="Z21" s="11">
        <f>IF(A21&gt;TODAY(),"Upcoming",IF(Y21&lt;&gt;"","✓ Updated",IF(A21+6&gt;=TODAY(),"Due Friday","⚠ Missing")))</f>
        <v/>
      </c>
    </row>
    <row r="22">
      <c r="A22" s="35" t="n">
        <v>46342</v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7" t="n"/>
      <c r="T22" s="37" t="n"/>
      <c r="U22" s="37" t="n"/>
      <c r="V22" s="38" t="n"/>
      <c r="W22" s="38" t="n"/>
      <c r="X22" s="38" t="n"/>
      <c r="Y22" s="39" t="n"/>
      <c r="Z22" s="11">
        <f>IF(A22&gt;TODAY(),"Upcoming",IF(Y22&lt;&gt;"","✓ Updated",IF(A22+6&gt;=TODAY(),"Due Friday","⚠ Missing")))</f>
        <v/>
      </c>
    </row>
    <row r="23">
      <c r="A23" s="35" t="n">
        <v>46349</v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7" t="n"/>
      <c r="T23" s="37" t="n"/>
      <c r="U23" s="37" t="n"/>
      <c r="V23" s="38" t="n"/>
      <c r="W23" s="38" t="n"/>
      <c r="X23" s="38" t="n"/>
      <c r="Y23" s="39" t="n"/>
      <c r="Z23" s="11">
        <f>IF(A23&gt;TODAY(),"Upcoming",IF(Y23&lt;&gt;"","✓ Updated",IF(A23+6&gt;=TODAY(),"Due Friday","⚠ Missing")))</f>
        <v/>
      </c>
    </row>
    <row r="24">
      <c r="A24" s="35" t="n">
        <v>46356</v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7" t="n"/>
      <c r="T24" s="37" t="n"/>
      <c r="U24" s="37" t="n"/>
      <c r="V24" s="38" t="n"/>
      <c r="W24" s="38" t="n"/>
      <c r="X24" s="38" t="n"/>
      <c r="Y24" s="39" t="n"/>
      <c r="Z24" s="11">
        <f>IF(A24&gt;TODAY(),"Upcoming",IF(Y24&lt;&gt;"","✓ Updated",IF(A24+6&gt;=TODAY(),"Due Friday","⚠ Missing")))</f>
        <v/>
      </c>
    </row>
    <row r="25">
      <c r="A25" s="35" t="n">
        <v>46363</v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7" t="n"/>
      <c r="T25" s="37" t="n"/>
      <c r="U25" s="37" t="n"/>
      <c r="V25" s="38" t="n"/>
      <c r="W25" s="38" t="n"/>
      <c r="X25" s="38" t="n"/>
      <c r="Y25" s="39" t="n"/>
      <c r="Z25" s="11">
        <f>IF(A25&gt;TODAY(),"Upcoming",IF(Y25&lt;&gt;"","✓ Updated",IF(A25+6&gt;=TODAY(),"Due Friday","⚠ Missing")))</f>
        <v/>
      </c>
    </row>
    <row r="26">
      <c r="A26" s="35" t="n">
        <v>46370</v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7" t="n"/>
      <c r="T26" s="37" t="n"/>
      <c r="U26" s="37" t="n"/>
      <c r="V26" s="38" t="n"/>
      <c r="W26" s="38" t="n"/>
      <c r="X26" s="38" t="n"/>
      <c r="Y26" s="39" t="n"/>
      <c r="Z26" s="11">
        <f>IF(A26&gt;TODAY(),"Upcoming",IF(Y26&lt;&gt;"","✓ Updated",IF(A26+6&gt;=TODAY(),"Due Friday","⚠ Missing")))</f>
        <v/>
      </c>
    </row>
    <row r="27">
      <c r="A27" s="35" t="n">
        <v>46377</v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7" t="n"/>
      <c r="T27" s="37" t="n"/>
      <c r="U27" s="37" t="n"/>
      <c r="V27" s="38" t="n"/>
      <c r="W27" s="38" t="n"/>
      <c r="X27" s="38" t="n"/>
      <c r="Y27" s="39" t="n"/>
      <c r="Z27" s="11">
        <f>IF(A27&gt;TODAY(),"Upcoming",IF(Y27&lt;&gt;"","✓ Updated",IF(A27+6&gt;=TODAY(),"Due Friday","⚠ Missing")))</f>
        <v/>
      </c>
    </row>
    <row r="28">
      <c r="A28" s="35" t="n">
        <v>46384</v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7" t="n"/>
      <c r="T28" s="37" t="n"/>
      <c r="U28" s="37" t="n"/>
      <c r="V28" s="38" t="n"/>
      <c r="W28" s="38" t="n"/>
      <c r="X28" s="38" t="n"/>
      <c r="Y28" s="39" t="n"/>
      <c r="Z28" s="11">
        <f>IF(A28&gt;TODAY(),"Upcoming",IF(Y28&lt;&gt;"","✓ Updated",IF(A28+6&gt;=TODAY(),"Due Friday","⚠ Missing")))</f>
        <v/>
      </c>
    </row>
    <row r="29">
      <c r="A29" s="35" t="n">
        <v>46391</v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7" t="n"/>
      <c r="T29" s="37" t="n"/>
      <c r="U29" s="37" t="n"/>
      <c r="V29" s="38" t="n"/>
      <c r="W29" s="38" t="n"/>
      <c r="X29" s="38" t="n"/>
      <c r="Y29" s="39" t="n"/>
      <c r="Z29" s="11">
        <f>IF(A29&gt;TODAY(),"Upcoming",IF(Y29&lt;&gt;"","✓ Updated",IF(A29+6&gt;=TODAY(),"Due Friday","⚠ Missing")))</f>
        <v/>
      </c>
    </row>
    <row r="30">
      <c r="A30" s="35" t="n">
        <v>46398</v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7" t="n"/>
      <c r="T30" s="37" t="n"/>
      <c r="U30" s="37" t="n"/>
      <c r="V30" s="38" t="n"/>
      <c r="W30" s="38" t="n"/>
      <c r="X30" s="38" t="n"/>
      <c r="Y30" s="39" t="n"/>
      <c r="Z30" s="11">
        <f>IF(A30&gt;TODAY(),"Upcoming",IF(Y30&lt;&gt;"","✓ Updated",IF(A30+6&gt;=TODAY(),"Due Friday","⚠ Missing")))</f>
        <v/>
      </c>
    </row>
    <row r="31">
      <c r="A31" s="35" t="n">
        <v>46405</v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7" t="n"/>
      <c r="T31" s="37" t="n"/>
      <c r="U31" s="37" t="n"/>
      <c r="V31" s="38" t="n"/>
      <c r="W31" s="38" t="n"/>
      <c r="X31" s="38" t="n"/>
      <c r="Y31" s="39" t="n"/>
      <c r="Z31" s="11">
        <f>IF(A31&gt;TODAY(),"Upcoming",IF(Y31&lt;&gt;"","✓ Updated",IF(A31+6&gt;=TODAY(),"Due Friday","⚠ Missing")))</f>
        <v/>
      </c>
    </row>
    <row r="32">
      <c r="A32" s="35" t="n">
        <v>46412</v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7" t="n"/>
      <c r="T32" s="37" t="n"/>
      <c r="U32" s="37" t="n"/>
      <c r="V32" s="38" t="n"/>
      <c r="W32" s="38" t="n"/>
      <c r="X32" s="38" t="n"/>
      <c r="Y32" s="39" t="n"/>
      <c r="Z32" s="11">
        <f>IF(A32&gt;TODAY(),"Upcoming",IF(Y32&lt;&gt;"","✓ Updated",IF(A32+6&gt;=TODAY(),"Due Friday","⚠ Missing")))</f>
        <v/>
      </c>
    </row>
    <row r="33">
      <c r="A33" s="35" t="n">
        <v>46419</v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7" t="n"/>
      <c r="T33" s="37" t="n"/>
      <c r="U33" s="37" t="n"/>
      <c r="V33" s="38" t="n"/>
      <c r="W33" s="38" t="n"/>
      <c r="X33" s="38" t="n"/>
      <c r="Y33" s="39" t="n"/>
      <c r="Z33" s="11">
        <f>IF(A33&gt;TODAY(),"Upcoming",IF(Y33&lt;&gt;"","✓ Updated",IF(A33+6&gt;=TODAY(),"Due Friday","⚠ Missing")))</f>
        <v/>
      </c>
    </row>
    <row r="34">
      <c r="A34" s="35" t="n">
        <v>46426</v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7" t="n"/>
      <c r="T34" s="37" t="n"/>
      <c r="U34" s="37" t="n"/>
      <c r="V34" s="38" t="n"/>
      <c r="W34" s="38" t="n"/>
      <c r="X34" s="38" t="n"/>
      <c r="Y34" s="39" t="n"/>
      <c r="Z34" s="11">
        <f>IF(A34&gt;TODAY(),"Upcoming",IF(Y34&lt;&gt;"","✓ Updated",IF(A34+6&gt;=TODAY(),"Due Friday","⚠ Missing")))</f>
        <v/>
      </c>
    </row>
    <row r="35">
      <c r="A35" s="35" t="n">
        <v>46433</v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7" t="n"/>
      <c r="T35" s="37" t="n"/>
      <c r="U35" s="37" t="n"/>
      <c r="V35" s="38" t="n"/>
      <c r="W35" s="38" t="n"/>
      <c r="X35" s="38" t="n"/>
      <c r="Y35" s="39" t="n"/>
      <c r="Z35" s="11">
        <f>IF(A35&gt;TODAY(),"Upcoming",IF(Y35&lt;&gt;"","✓ Updated",IF(A35+6&gt;=TODAY(),"Due Friday","⚠ Missing")))</f>
        <v/>
      </c>
    </row>
    <row r="36">
      <c r="A36" s="35" t="n">
        <v>46440</v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7" t="n"/>
      <c r="T36" s="37" t="n"/>
      <c r="U36" s="37" t="n"/>
      <c r="V36" s="38" t="n"/>
      <c r="W36" s="38" t="n"/>
      <c r="X36" s="38" t="n"/>
      <c r="Y36" s="39" t="n"/>
      <c r="Z36" s="11">
        <f>IF(A36&gt;TODAY(),"Upcoming",IF(Y36&lt;&gt;"","✓ Updated",IF(A36+6&gt;=TODAY(),"Due Friday","⚠ Missing")))</f>
        <v/>
      </c>
    </row>
    <row r="37">
      <c r="A37" s="35" t="n">
        <v>46447</v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7" t="n"/>
      <c r="T37" s="37" t="n"/>
      <c r="U37" s="37" t="n"/>
      <c r="V37" s="38" t="n"/>
      <c r="W37" s="38" t="n"/>
      <c r="X37" s="38" t="n"/>
      <c r="Y37" s="39" t="n"/>
      <c r="Z37" s="11">
        <f>IF(A37&gt;TODAY(),"Upcoming",IF(Y37&lt;&gt;"","✓ Updated",IF(A37+6&gt;=TODAY(),"Due Friday","⚠ Missing")))</f>
        <v/>
      </c>
    </row>
    <row r="38">
      <c r="A38" s="35" t="n">
        <v>46454</v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7" t="n"/>
      <c r="T38" s="37" t="n"/>
      <c r="U38" s="37" t="n"/>
      <c r="V38" s="38" t="n"/>
      <c r="W38" s="38" t="n"/>
      <c r="X38" s="38" t="n"/>
      <c r="Y38" s="39" t="n"/>
      <c r="Z38" s="11">
        <f>IF(A38&gt;TODAY(),"Upcoming",IF(Y38&lt;&gt;"","✓ Updated",IF(A38+6&gt;=TODAY(),"Due Friday","⚠ Missing")))</f>
        <v/>
      </c>
    </row>
    <row r="39">
      <c r="A39" s="35" t="n">
        <v>46461</v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7" t="n"/>
      <c r="T39" s="37" t="n"/>
      <c r="U39" s="37" t="n"/>
      <c r="V39" s="38" t="n"/>
      <c r="W39" s="38" t="n"/>
      <c r="X39" s="38" t="n"/>
      <c r="Y39" s="39" t="n"/>
      <c r="Z39" s="11">
        <f>IF(A39&gt;TODAY(),"Upcoming",IF(Y39&lt;&gt;"","✓ Updated",IF(A39+6&gt;=TODAY(),"Due Friday","⚠ Missing")))</f>
        <v/>
      </c>
    </row>
    <row r="40">
      <c r="A40" s="35" t="n">
        <v>46468</v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7" t="n"/>
      <c r="T40" s="37" t="n"/>
      <c r="U40" s="37" t="n"/>
      <c r="V40" s="38" t="n"/>
      <c r="W40" s="38" t="n"/>
      <c r="X40" s="38" t="n"/>
      <c r="Y40" s="39" t="n"/>
      <c r="Z40" s="11">
        <f>IF(A40&gt;TODAY(),"Upcoming",IF(Y40&lt;&gt;"","✓ Updated",IF(A40+6&gt;=TODAY(),"Due Friday","⚠ Missing")))</f>
        <v/>
      </c>
    </row>
    <row r="41">
      <c r="A41" s="35" t="n">
        <v>46475</v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7" t="n"/>
      <c r="T41" s="37" t="n"/>
      <c r="U41" s="37" t="n"/>
      <c r="V41" s="38" t="n"/>
      <c r="W41" s="38" t="n"/>
      <c r="X41" s="38" t="n"/>
      <c r="Y41" s="39" t="n"/>
      <c r="Z41" s="11">
        <f>IF(A41&gt;TODAY(),"Upcoming",IF(Y41&lt;&gt;"","✓ Updated",IF(A41+6&gt;=TODAY(),"Due Friday","⚠ Missing")))</f>
        <v/>
      </c>
    </row>
    <row r="42">
      <c r="A42" s="35" t="n">
        <v>46482</v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7" t="n"/>
      <c r="T42" s="37" t="n"/>
      <c r="U42" s="37" t="n"/>
      <c r="V42" s="38" t="n"/>
      <c r="W42" s="38" t="n"/>
      <c r="X42" s="38" t="n"/>
      <c r="Y42" s="39" t="n"/>
      <c r="Z42" s="11">
        <f>IF(A42&gt;TODAY(),"Upcoming",IF(Y42&lt;&gt;"","✓ Updated",IF(A42+6&gt;=TODAY(),"Due Friday","⚠ Missing")))</f>
        <v/>
      </c>
    </row>
    <row r="43">
      <c r="A43" s="35" t="n">
        <v>46489</v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7" t="n"/>
      <c r="T43" s="37" t="n"/>
      <c r="U43" s="37" t="n"/>
      <c r="V43" s="38" t="n"/>
      <c r="W43" s="38" t="n"/>
      <c r="X43" s="38" t="n"/>
      <c r="Y43" s="39" t="n"/>
      <c r="Z43" s="11">
        <f>IF(A43&gt;TODAY(),"Upcoming",IF(Y43&lt;&gt;"","✓ Updated",IF(A43+6&gt;=TODAY(),"Due Friday","⚠ Missing")))</f>
        <v/>
      </c>
    </row>
    <row r="44">
      <c r="A44" s="35" t="n">
        <v>46496</v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7" t="n"/>
      <c r="T44" s="37" t="n"/>
      <c r="U44" s="37" t="n"/>
      <c r="V44" s="38" t="n"/>
      <c r="W44" s="38" t="n"/>
      <c r="X44" s="38" t="n"/>
      <c r="Y44" s="39" t="n"/>
      <c r="Z44" s="11">
        <f>IF(A44&gt;TODAY(),"Upcoming",IF(Y44&lt;&gt;"","✓ Updated",IF(A44+6&gt;=TODAY(),"Due Friday","⚠ Missing")))</f>
        <v/>
      </c>
    </row>
    <row r="45">
      <c r="A45" s="35" t="n">
        <v>46503</v>
      </c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7" t="n"/>
      <c r="T45" s="37" t="n"/>
      <c r="U45" s="37" t="n"/>
      <c r="V45" s="38" t="n"/>
      <c r="W45" s="38" t="n"/>
      <c r="X45" s="38" t="n"/>
      <c r="Y45" s="39" t="n"/>
      <c r="Z45" s="11">
        <f>IF(A45&gt;TODAY(),"Upcoming",IF(Y45&lt;&gt;"","✓ Updated",IF(A45+6&gt;=TODAY(),"Due Friday","⚠ Missing")))</f>
        <v/>
      </c>
    </row>
    <row r="46">
      <c r="A46" s="35" t="n">
        <v>46510</v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7" t="n"/>
      <c r="T46" s="37" t="n"/>
      <c r="U46" s="37" t="n"/>
      <c r="V46" s="38" t="n"/>
      <c r="W46" s="38" t="n"/>
      <c r="X46" s="38" t="n"/>
      <c r="Y46" s="39" t="n"/>
      <c r="Z46" s="11">
        <f>IF(A46&gt;TODAY(),"Upcoming",IF(Y46&lt;&gt;"","✓ Updated",IF(A46+6&gt;=TODAY(),"Due Friday","⚠ Missing")))</f>
        <v/>
      </c>
    </row>
    <row r="47">
      <c r="A47" s="35" t="n">
        <v>46517</v>
      </c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7" t="n"/>
      <c r="T47" s="37" t="n"/>
      <c r="U47" s="37" t="n"/>
      <c r="V47" s="38" t="n"/>
      <c r="W47" s="38" t="n"/>
      <c r="X47" s="38" t="n"/>
      <c r="Y47" s="39" t="n"/>
      <c r="Z47" s="11">
        <f>IF(A47&gt;TODAY(),"Upcoming",IF(Y47&lt;&gt;"","✓ Updated",IF(A47+6&gt;=TODAY(),"Due Friday","⚠ Missing")))</f>
        <v/>
      </c>
    </row>
    <row r="48">
      <c r="A48" s="35" t="n">
        <v>46524</v>
      </c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7" t="n"/>
      <c r="T48" s="37" t="n"/>
      <c r="U48" s="37" t="n"/>
      <c r="V48" s="38" t="n"/>
      <c r="W48" s="38" t="n"/>
      <c r="X48" s="38" t="n"/>
      <c r="Y48" s="39" t="n"/>
      <c r="Z48" s="11">
        <f>IF(A48&gt;TODAY(),"Upcoming",IF(Y48&lt;&gt;"","✓ Updated",IF(A48+6&gt;=TODAY(),"Due Friday","⚠ Missing")))</f>
        <v/>
      </c>
    </row>
    <row r="49">
      <c r="A49" s="35" t="n">
        <v>46531</v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7" t="n"/>
      <c r="T49" s="37" t="n"/>
      <c r="U49" s="37" t="n"/>
      <c r="V49" s="38" t="n"/>
      <c r="W49" s="38" t="n"/>
      <c r="X49" s="38" t="n"/>
      <c r="Y49" s="39" t="n"/>
      <c r="Z49" s="11">
        <f>IF(A49&gt;TODAY(),"Upcoming",IF(Y49&lt;&gt;"","✓ Updated",IF(A49+6&gt;=TODAY(),"Due Friday","⚠ Missing")))</f>
        <v/>
      </c>
    </row>
    <row r="50">
      <c r="A50" s="35" t="n">
        <v>46538</v>
      </c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7" t="n"/>
      <c r="T50" s="37" t="n"/>
      <c r="U50" s="37" t="n"/>
      <c r="V50" s="38" t="n"/>
      <c r="W50" s="38" t="n"/>
      <c r="X50" s="38" t="n"/>
      <c r="Y50" s="39" t="n"/>
      <c r="Z50" s="11">
        <f>IF(A50&gt;TODAY(),"Upcoming",IF(Y50&lt;&gt;"","✓ Updated",IF(A50+6&gt;=TODAY(),"Due Friday","⚠ Missing")))</f>
        <v/>
      </c>
    </row>
    <row r="51">
      <c r="A51" s="35" t="n">
        <v>46545</v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7" t="n"/>
      <c r="T51" s="37" t="n"/>
      <c r="U51" s="37" t="n"/>
      <c r="V51" s="38" t="n"/>
      <c r="W51" s="38" t="n"/>
      <c r="X51" s="38" t="n"/>
      <c r="Y51" s="39" t="n"/>
      <c r="Z51" s="11">
        <f>IF(A51&gt;TODAY(),"Upcoming",IF(Y51&lt;&gt;"","✓ Updated",IF(A51+6&gt;=TODAY(),"Due Friday","⚠ Missing")))</f>
        <v/>
      </c>
    </row>
    <row r="52">
      <c r="A52" s="35" t="n">
        <v>46552</v>
      </c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7" t="n"/>
      <c r="T52" s="37" t="n"/>
      <c r="U52" s="37" t="n"/>
      <c r="V52" s="38" t="n"/>
      <c r="W52" s="38" t="n"/>
      <c r="X52" s="38" t="n"/>
      <c r="Y52" s="39" t="n"/>
      <c r="Z52" s="11">
        <f>IF(A52&gt;TODAY(),"Upcoming",IF(Y52&lt;&gt;"","✓ Updated",IF(A52+6&gt;=TODAY(),"Due Friday","⚠ Missing")))</f>
        <v/>
      </c>
    </row>
    <row r="53">
      <c r="A53" s="35" t="n">
        <v>46559</v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7" t="n"/>
      <c r="T53" s="37" t="n"/>
      <c r="U53" s="37" t="n"/>
      <c r="V53" s="38" t="n"/>
      <c r="W53" s="38" t="n"/>
      <c r="X53" s="38" t="n"/>
      <c r="Y53" s="39" t="n"/>
      <c r="Z53" s="11">
        <f>IF(A53&gt;TODAY(),"Upcoming",IF(Y53&lt;&gt;"","✓ Updated",IF(A53+6&gt;=TODAY(),"Due Friday","⚠ Missing")))</f>
        <v/>
      </c>
    </row>
    <row r="54">
      <c r="A54" s="35" t="n">
        <v>46566</v>
      </c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7" t="n"/>
      <c r="T54" s="37" t="n"/>
      <c r="U54" s="37" t="n"/>
      <c r="V54" s="38" t="n"/>
      <c r="W54" s="38" t="n"/>
      <c r="X54" s="38" t="n"/>
      <c r="Y54" s="39" t="n"/>
      <c r="Z54" s="11">
        <f>IF(A54&gt;TODAY(),"Upcoming",IF(Y54&lt;&gt;"","✓ Updated",IF(A54+6&gt;=TODAY(),"Due Friday","⚠ Missing")))</f>
        <v/>
      </c>
    </row>
    <row r="55">
      <c r="A55" s="35" t="n">
        <v>46573</v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7" t="n"/>
      <c r="T55" s="37" t="n"/>
      <c r="U55" s="37" t="n"/>
      <c r="V55" s="38" t="n"/>
      <c r="W55" s="38" t="n"/>
      <c r="X55" s="38" t="n"/>
      <c r="Y55" s="39" t="n"/>
      <c r="Z55" s="11">
        <f>IF(A55&gt;TODAY(),"Upcoming",IF(Y55&lt;&gt;"","✓ Updated",IF(A55+6&gt;=TODAY(),"Due Friday","⚠ Missing")))</f>
        <v/>
      </c>
    </row>
    <row r="56">
      <c r="A56" s="35" t="n">
        <v>46580</v>
      </c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7" t="n"/>
      <c r="T56" s="37" t="n"/>
      <c r="U56" s="37" t="n"/>
      <c r="V56" s="38" t="n"/>
      <c r="W56" s="38" t="n"/>
      <c r="X56" s="38" t="n"/>
      <c r="Y56" s="39" t="n"/>
      <c r="Z56" s="11">
        <f>IF(A56&gt;TODAY(),"Upcoming",IF(Y56&lt;&gt;"","✓ Updated",IF(A56+6&gt;=TODAY(),"Due Friday","⚠ Missing")))</f>
        <v/>
      </c>
    </row>
    <row r="57">
      <c r="A57" s="35" t="n">
        <v>46587</v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7" t="n"/>
      <c r="T57" s="37" t="n"/>
      <c r="U57" s="37" t="n"/>
      <c r="V57" s="38" t="n"/>
      <c r="W57" s="38" t="n"/>
      <c r="X57" s="38" t="n"/>
      <c r="Y57" s="39" t="n"/>
      <c r="Z57" s="11">
        <f>IF(A57&gt;TODAY(),"Upcoming",IF(Y57&lt;&gt;"","✓ Updated",IF(A57+6&gt;=TODAY(),"Due Friday","⚠ Missing")))</f>
        <v/>
      </c>
    </row>
    <row r="58">
      <c r="A58" s="35" t="n">
        <v>46594</v>
      </c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7" t="n"/>
      <c r="T58" s="37" t="n"/>
      <c r="U58" s="37" t="n"/>
      <c r="V58" s="38" t="n"/>
      <c r="W58" s="38" t="n"/>
      <c r="X58" s="38" t="n"/>
      <c r="Y58" s="39" t="n"/>
      <c r="Z58" s="11">
        <f>IF(A58&gt;TODAY(),"Upcoming",IF(Y58&lt;&gt;"","✓ Updated",IF(A58+6&gt;=TODAY(),"Due Friday","⚠ Missing")))</f>
        <v/>
      </c>
    </row>
    <row r="59">
      <c r="A59" s="35" t="n">
        <v>46601</v>
      </c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7" t="n"/>
      <c r="T59" s="37" t="n"/>
      <c r="U59" s="37" t="n"/>
      <c r="V59" s="38" t="n"/>
      <c r="W59" s="38" t="n"/>
      <c r="X59" s="38" t="n"/>
      <c r="Y59" s="39" t="n"/>
      <c r="Z59" s="11">
        <f>IF(A59&gt;TODAY(),"Upcoming",IF(Y59&lt;&gt;"","✓ Updated",IF(A59+6&gt;=TODAY(),"Due Friday","⚠ Missing")))</f>
        <v/>
      </c>
    </row>
    <row r="60">
      <c r="A60" s="35" t="n">
        <v>46608</v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7" t="n"/>
      <c r="T60" s="37" t="n"/>
      <c r="U60" s="37" t="n"/>
      <c r="V60" s="38" t="n"/>
      <c r="W60" s="38" t="n"/>
      <c r="X60" s="38" t="n"/>
      <c r="Y60" s="39" t="n"/>
      <c r="Z60" s="11">
        <f>IF(A60&gt;TODAY(),"Upcoming",IF(Y60&lt;&gt;"","✓ Updated",IF(A60+6&gt;=TODAY(),"Due Friday","⚠ Missing")))</f>
        <v/>
      </c>
    </row>
    <row r="61">
      <c r="A61" s="35" t="n">
        <v>46615</v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7" t="n"/>
      <c r="T61" s="37" t="n"/>
      <c r="U61" s="37" t="n"/>
      <c r="V61" s="38" t="n"/>
      <c r="W61" s="38" t="n"/>
      <c r="X61" s="38" t="n"/>
      <c r="Y61" s="39" t="n"/>
      <c r="Z61" s="11">
        <f>IF(A61&gt;TODAY(),"Upcoming",IF(Y61&lt;&gt;"","✓ Updated",IF(A61+6&gt;=TODAY(),"Due Friday","⚠ Missing")))</f>
        <v/>
      </c>
    </row>
    <row r="62">
      <c r="A62" s="35" t="n">
        <v>46622</v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7" t="n"/>
      <c r="T62" s="37" t="n"/>
      <c r="U62" s="37" t="n"/>
      <c r="V62" s="38" t="n"/>
      <c r="W62" s="38" t="n"/>
      <c r="X62" s="38" t="n"/>
      <c r="Y62" s="39" t="n"/>
      <c r="Z62" s="11">
        <f>IF(A62&gt;TODAY(),"Upcoming",IF(Y62&lt;&gt;"","✓ Updated",IF(A62+6&gt;=TODAY(),"Due Friday","⚠ Missing")))</f>
        <v/>
      </c>
    </row>
    <row r="63">
      <c r="A63" s="35" t="n">
        <v>46629</v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7" t="n"/>
      <c r="T63" s="37" t="n"/>
      <c r="U63" s="37" t="n"/>
      <c r="V63" s="38" t="n"/>
      <c r="W63" s="38" t="n"/>
      <c r="X63" s="38" t="n"/>
      <c r="Y63" s="39" t="n"/>
      <c r="Z63" s="11">
        <f>IF(A63&gt;TODAY(),"Upcoming",IF(Y63&lt;&gt;"","✓ Updated",IF(A63+6&gt;=TODAY(),"Due Friday","⚠ Missing")))</f>
        <v/>
      </c>
    </row>
    <row r="64">
      <c r="A64" s="35" t="n">
        <v>46636</v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7" t="n"/>
      <c r="T64" s="37" t="n"/>
      <c r="U64" s="37" t="n"/>
      <c r="V64" s="38" t="n"/>
      <c r="W64" s="38" t="n"/>
      <c r="X64" s="38" t="n"/>
      <c r="Y64" s="39" t="n"/>
      <c r="Z64" s="11">
        <f>IF(A64&gt;TODAY(),"Upcoming",IF(Y64&lt;&gt;"","✓ Updated",IF(A64+6&gt;=TODAY(),"Due Friday","⚠ Missing")))</f>
        <v/>
      </c>
    </row>
    <row r="65">
      <c r="A65" s="35" t="n">
        <v>46643</v>
      </c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7" t="n"/>
      <c r="T65" s="37" t="n"/>
      <c r="U65" s="37" t="n"/>
      <c r="V65" s="38" t="n"/>
      <c r="W65" s="38" t="n"/>
      <c r="X65" s="38" t="n"/>
      <c r="Y65" s="39" t="n"/>
      <c r="Z65" s="11">
        <f>IF(A65&gt;TODAY(),"Upcoming",IF(Y65&lt;&gt;"","✓ Updated",IF(A65+6&gt;=TODAY(),"Due Friday","⚠ Missing")))</f>
        <v/>
      </c>
    </row>
    <row r="66">
      <c r="A66" s="35" t="n">
        <v>46650</v>
      </c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7" t="n"/>
      <c r="T66" s="37" t="n"/>
      <c r="U66" s="37" t="n"/>
      <c r="V66" s="38" t="n"/>
      <c r="W66" s="38" t="n"/>
      <c r="X66" s="38" t="n"/>
      <c r="Y66" s="39" t="n"/>
      <c r="Z66" s="11">
        <f>IF(A66&gt;TODAY(),"Upcoming",IF(Y66&lt;&gt;"","✓ Updated",IF(A66+6&gt;=TODAY(),"Due Friday","⚠ Missing")))</f>
        <v/>
      </c>
    </row>
    <row r="67">
      <c r="A67" s="35" t="n">
        <v>46657</v>
      </c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7" t="n"/>
      <c r="T67" s="37" t="n"/>
      <c r="U67" s="37" t="n"/>
      <c r="V67" s="38" t="n"/>
      <c r="W67" s="38" t="n"/>
      <c r="X67" s="38" t="n"/>
      <c r="Y67" s="39" t="n"/>
      <c r="Z67" s="11">
        <f>IF(A67&gt;TODAY(),"Upcoming",IF(Y67&lt;&gt;"","✓ Updated",IF(A67+6&gt;=TODAY(),"Due Friday","⚠ Missing")))</f>
        <v/>
      </c>
    </row>
    <row r="68">
      <c r="A68" s="35" t="n">
        <v>46664</v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7" t="n"/>
      <c r="T68" s="37" t="n"/>
      <c r="U68" s="37" t="n"/>
      <c r="V68" s="38" t="n"/>
      <c r="W68" s="38" t="n"/>
      <c r="X68" s="38" t="n"/>
      <c r="Y68" s="39" t="n"/>
      <c r="Z68" s="11">
        <f>IF(A68&gt;TODAY(),"Upcoming",IF(Y68&lt;&gt;"","✓ Updated",IF(A68+6&gt;=TODAY(),"Due Friday","⚠ Missing")))</f>
        <v/>
      </c>
    </row>
    <row r="69">
      <c r="A69" s="35" t="n">
        <v>46671</v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7" t="n"/>
      <c r="T69" s="37" t="n"/>
      <c r="U69" s="37" t="n"/>
      <c r="V69" s="38" t="n"/>
      <c r="W69" s="38" t="n"/>
      <c r="X69" s="38" t="n"/>
      <c r="Y69" s="39" t="n"/>
      <c r="Z69" s="11">
        <f>IF(A69&gt;TODAY(),"Upcoming",IF(Y69&lt;&gt;"","✓ Updated",IF(A69+6&gt;=TODAY(),"Due Friday","⚠ Missing")))</f>
        <v/>
      </c>
    </row>
    <row r="70">
      <c r="A70" s="35" t="n">
        <v>46678</v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7" t="n"/>
      <c r="T70" s="37" t="n"/>
      <c r="U70" s="37" t="n"/>
      <c r="V70" s="38" t="n"/>
      <c r="W70" s="38" t="n"/>
      <c r="X70" s="38" t="n"/>
      <c r="Y70" s="39" t="n"/>
      <c r="Z70" s="11">
        <f>IF(A70&gt;TODAY(),"Upcoming",IF(Y70&lt;&gt;"","✓ Updated",IF(A70+6&gt;=TODAY(),"Due Friday","⚠ Missing")))</f>
        <v/>
      </c>
    </row>
    <row r="71">
      <c r="A71" s="35" t="n">
        <v>46685</v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7" t="n"/>
      <c r="T71" s="37" t="n"/>
      <c r="U71" s="37" t="n"/>
      <c r="V71" s="38" t="n"/>
      <c r="W71" s="38" t="n"/>
      <c r="X71" s="38" t="n"/>
      <c r="Y71" s="39" t="n"/>
      <c r="Z71" s="11">
        <f>IF(A71&gt;TODAY(),"Upcoming",IF(Y71&lt;&gt;"","✓ Updated",IF(A71+6&gt;=TODAY(),"Due Friday","⚠ Missing")))</f>
        <v/>
      </c>
    </row>
    <row r="72">
      <c r="A72" s="35" t="n">
        <v>46692</v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7" t="n"/>
      <c r="T72" s="37" t="n"/>
      <c r="U72" s="37" t="n"/>
      <c r="V72" s="38" t="n"/>
      <c r="W72" s="38" t="n"/>
      <c r="X72" s="38" t="n"/>
      <c r="Y72" s="39" t="n"/>
      <c r="Z72" s="11">
        <f>IF(A72&gt;TODAY(),"Upcoming",IF(Y72&lt;&gt;"","✓ Updated",IF(A72+6&gt;=TODAY(),"Due Friday","⚠ Missing")))</f>
        <v/>
      </c>
    </row>
    <row r="73">
      <c r="A73" s="35" t="n">
        <v>46699</v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7" t="n"/>
      <c r="T73" s="37" t="n"/>
      <c r="U73" s="37" t="n"/>
      <c r="V73" s="38" t="n"/>
      <c r="W73" s="38" t="n"/>
      <c r="X73" s="38" t="n"/>
      <c r="Y73" s="39" t="n"/>
      <c r="Z73" s="11">
        <f>IF(A73&gt;TODAY(),"Upcoming",IF(Y73&lt;&gt;"","✓ Updated",IF(A73+6&gt;=TODAY(),"Due Friday","⚠ Missing")))</f>
        <v/>
      </c>
    </row>
    <row r="74">
      <c r="A74" s="35" t="n">
        <v>46706</v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7" t="n"/>
      <c r="T74" s="37" t="n"/>
      <c r="U74" s="37" t="n"/>
      <c r="V74" s="38" t="n"/>
      <c r="W74" s="38" t="n"/>
      <c r="X74" s="38" t="n"/>
      <c r="Y74" s="39" t="n"/>
      <c r="Z74" s="11">
        <f>IF(A74&gt;TODAY(),"Upcoming",IF(Y74&lt;&gt;"","✓ Updated",IF(A74+6&gt;=TODAY(),"Due Friday","⚠ Missing")))</f>
        <v/>
      </c>
    </row>
    <row r="75">
      <c r="A75" s="35" t="n">
        <v>46713</v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7" t="n"/>
      <c r="T75" s="37" t="n"/>
      <c r="U75" s="37" t="n"/>
      <c r="V75" s="38" t="n"/>
      <c r="W75" s="38" t="n"/>
      <c r="X75" s="38" t="n"/>
      <c r="Y75" s="39" t="n"/>
      <c r="Z75" s="11">
        <f>IF(A75&gt;TODAY(),"Upcoming",IF(Y75&lt;&gt;"","✓ Updated",IF(A75+6&gt;=TODAY(),"Due Friday","⚠ Missing")))</f>
        <v/>
      </c>
    </row>
    <row r="76">
      <c r="A76" s="35" t="n">
        <v>46720</v>
      </c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7" t="n"/>
      <c r="T76" s="37" t="n"/>
      <c r="U76" s="37" t="n"/>
      <c r="V76" s="38" t="n"/>
      <c r="W76" s="38" t="n"/>
      <c r="X76" s="38" t="n"/>
      <c r="Y76" s="39" t="n"/>
      <c r="Z76" s="11">
        <f>IF(A76&gt;TODAY(),"Upcoming",IF(Y76&lt;&gt;"","✓ Updated",IF(A76+6&gt;=TODAY(),"Due Friday","⚠ Missing")))</f>
        <v/>
      </c>
    </row>
    <row r="77">
      <c r="A77" s="35" t="n">
        <v>46727</v>
      </c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7" t="n"/>
      <c r="T77" s="37" t="n"/>
      <c r="U77" s="37" t="n"/>
      <c r="V77" s="38" t="n"/>
      <c r="W77" s="38" t="n"/>
      <c r="X77" s="38" t="n"/>
      <c r="Y77" s="39" t="n"/>
      <c r="Z77" s="11">
        <f>IF(A77&gt;TODAY(),"Upcoming",IF(Y77&lt;&gt;"","✓ Updated",IF(A77+6&gt;=TODAY(),"Due Friday","⚠ Missing")))</f>
        <v/>
      </c>
    </row>
    <row r="78">
      <c r="A78" s="35" t="n">
        <v>46734</v>
      </c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7" t="n"/>
      <c r="T78" s="37" t="n"/>
      <c r="U78" s="37" t="n"/>
      <c r="V78" s="38" t="n"/>
      <c r="W78" s="38" t="n"/>
      <c r="X78" s="38" t="n"/>
      <c r="Y78" s="39" t="n"/>
      <c r="Z78" s="11">
        <f>IF(A78&gt;TODAY(),"Upcoming",IF(Y78&lt;&gt;"","✓ Updated",IF(A78+6&gt;=TODAY(),"Due Friday","⚠ Missing")))</f>
        <v/>
      </c>
    </row>
    <row r="79">
      <c r="A79" s="35" t="n">
        <v>46741</v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7" t="n"/>
      <c r="T79" s="37" t="n"/>
      <c r="U79" s="37" t="n"/>
      <c r="V79" s="38" t="n"/>
      <c r="W79" s="38" t="n"/>
      <c r="X79" s="38" t="n"/>
      <c r="Y79" s="39" t="n"/>
      <c r="Z79" s="11">
        <f>IF(A79&gt;TODAY(),"Upcoming",IF(Y79&lt;&gt;"","✓ Updated",IF(A79+6&gt;=TODAY(),"Due Friday","⚠ Missing")))</f>
        <v/>
      </c>
    </row>
    <row r="80">
      <c r="A80" s="35" t="n">
        <v>46748</v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7" t="n"/>
      <c r="T80" s="37" t="n"/>
      <c r="U80" s="37" t="n"/>
      <c r="V80" s="38" t="n"/>
      <c r="W80" s="38" t="n"/>
      <c r="X80" s="38" t="n"/>
      <c r="Y80" s="39" t="n"/>
      <c r="Z80" s="11">
        <f>IF(A80&gt;TODAY(),"Upcoming",IF(Y80&lt;&gt;"","✓ Updated",IF(A80+6&gt;=TODAY(),"Due Friday","⚠ Missing")))</f>
        <v/>
      </c>
    </row>
  </sheetData>
  <mergeCells count="18">
    <mergeCell ref="H6:J6"/>
    <mergeCell ref="H10:J10"/>
    <mergeCell ref="A7:B7"/>
    <mergeCell ref="A1:Z1"/>
    <mergeCell ref="A11:B11"/>
    <mergeCell ref="H5:J5"/>
    <mergeCell ref="A10:B10"/>
    <mergeCell ref="A5:B5"/>
    <mergeCell ref="H8:J8"/>
    <mergeCell ref="H9:J9"/>
    <mergeCell ref="A4:F4"/>
    <mergeCell ref="A2:Z2"/>
    <mergeCell ref="A9:B9"/>
    <mergeCell ref="A8:B8"/>
    <mergeCell ref="H11:J11"/>
    <mergeCell ref="A6:B6"/>
    <mergeCell ref="H7:J7"/>
    <mergeCell ref="A12:B12"/>
  </mergeCells>
  <conditionalFormatting sqref="F6:F12">
    <cfRule type="cellIs" priority="1" operator="equal" dxfId="3">
      <formula>"On pace"</formula>
    </cfRule>
    <cfRule type="cellIs" priority="2" operator="equal" dxfId="4">
      <formula>"Behind"</formula>
    </cfRule>
  </conditionalFormatting>
  <conditionalFormatting sqref="Z15:Z80">
    <cfRule type="cellIs" priority="3" operator="equal" dxfId="0">
      <formula>"⚠ Missing"</formula>
    </cfRule>
    <cfRule type="cellIs" priority="4" operator="equal" dxfId="1">
      <formula>"✓ Updated"</formula>
    </cfRule>
    <cfRule type="cellIs" priority="5" operator="equal" dxfId="5">
      <formula>"Due Friday"</formula>
    </cfRule>
  </conditionalFormatting>
  <conditionalFormatting sqref="A15:X80">
    <cfRule type="expression" priority="6" dxfId="6">
      <formula>AND($A15&lt;=TODAY(),$A15+6&gt;=TODAY())</formula>
    </cfRule>
  </conditionalFormatting>
  <dataValidations count="1">
    <dataValidation sqref="B15:U80" showDropDown="0" showInputMessage="0" showErrorMessage="1" allowBlank="1" errorTitle="Numbers only" error="Please enter a number (0 or more)." type="decimal" operator="greaterThanOrEqual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9A227"/>
    <outlinePr summaryBelow="1" summaryRight="1"/>
    <pageSetUpPr/>
  </sheetPr>
  <dimension ref="A1:F3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22" customWidth="1" min="3" max="3"/>
    <col width="22" customWidth="1" min="4" max="4"/>
    <col width="22" customWidth="1" min="5" max="5"/>
    <col hidden="1" width="13" customWidth="1" min="6" max="6"/>
  </cols>
  <sheetData>
    <row r="1" ht="34" customHeight="1">
      <c r="A1" s="1">
        <f>IF('Settings'!B19="","Agent 6",'Settings'!B19)&amp;" — Business Development &amp; Growth Assessment"</f>
        <v/>
      </c>
    </row>
    <row r="2" ht="44" customHeight="1">
      <c r="A2" s="5" t="inlineStr">
        <is>
          <t>THE PRAEDIUM GROUP  •  This assessment helps us understand where you are today, where your time is going, and what training, structure, or support could help you grow. There are no “right” answers — answer based on what your business actually looks like today. Estimates are completely acceptable. Yellow cells are yours to fill in.</t>
        </is>
      </c>
    </row>
    <row r="3">
      <c r="B3" s="40" t="inlineStr">
        <is>
          <t>Completion:</t>
        </is>
      </c>
      <c r="C3" s="41">
        <f>IFERROR(SUMPRODUCT((F5:F400=1)*(C5:C400&lt;&gt;""))/SUM(F5:F400),0)</f>
        <v/>
      </c>
    </row>
    <row r="5" ht="24" customHeight="1">
      <c r="A5" s="42" t="inlineStr">
        <is>
          <t>1. ABOUT YOUR BUSINESS TODAY</t>
        </is>
      </c>
    </row>
    <row r="6">
      <c r="B6" s="43" t="inlineStr">
        <is>
          <t>Market Center / KW Office</t>
        </is>
      </c>
      <c r="C6" s="44" t="n"/>
      <c r="D6" s="28" t="n"/>
      <c r="E6" s="28" t="n"/>
      <c r="F6" t="n">
        <v>1</v>
      </c>
    </row>
    <row r="7">
      <c r="B7" s="43" t="inlineStr">
        <is>
          <t>How long have you been licensed in real estate?</t>
        </is>
      </c>
      <c r="C7" s="44" t="n"/>
      <c r="D7" s="28" t="n"/>
      <c r="E7" s="28" t="n"/>
      <c r="F7" t="n">
        <v>1</v>
      </c>
    </row>
    <row r="8">
      <c r="B8" s="43" t="inlineStr">
        <is>
          <t>How long have you actively worked in commercial real estate?</t>
        </is>
      </c>
      <c r="C8" s="44" t="n"/>
      <c r="D8" s="28" t="n"/>
      <c r="E8" s="28" t="n"/>
      <c r="F8" t="n">
        <v>1</v>
      </c>
    </row>
    <row r="9">
      <c r="B9" s="43" t="inlineStr">
        <is>
          <t>How would you describe your current real estate business?</t>
        </is>
      </c>
      <c r="C9" s="44" t="n"/>
      <c r="D9" s="28" t="n"/>
      <c r="E9" s="28" t="n"/>
      <c r="F9" t="n">
        <v>1</v>
      </c>
    </row>
    <row r="10" ht="48" customHeight="1">
      <c r="B10" s="43" t="inlineStr">
        <is>
          <t>If you selected Other, please explain:</t>
        </is>
      </c>
      <c r="C10" s="44" t="n"/>
      <c r="D10" s="28" t="n"/>
      <c r="E10" s="28" t="n"/>
      <c r="F10" t="n">
        <v>1</v>
      </c>
    </row>
    <row r="11">
      <c r="B11" s="43" t="inlineStr">
        <is>
          <t>Is real estate currently your primary occupation?</t>
        </is>
      </c>
      <c r="C11" s="44" t="n"/>
      <c r="D11" s="28" t="n"/>
      <c r="E11" s="28" t="n"/>
      <c r="F11" t="n">
        <v>1</v>
      </c>
    </row>
    <row r="12" ht="48" customHeight="1">
      <c r="B12" s="43" t="inlineStr">
        <is>
          <t>If not, what other work or major commitments currently compete for your time?</t>
        </is>
      </c>
      <c r="C12" s="44" t="n"/>
      <c r="D12" s="28" t="n"/>
      <c r="E12" s="28" t="n"/>
      <c r="F12" t="n">
        <v>1</v>
      </c>
    </row>
    <row r="14" ht="24" customHeight="1">
      <c r="A14" s="42" t="inlineStr">
        <is>
          <t>2. YOUR CURRENT WORK WEEK</t>
        </is>
      </c>
    </row>
    <row r="15" ht="28" customHeight="1">
      <c r="A15" s="45" t="inlineStr">
        <is>
          <t>We want to understand what your schedule actually looks like today.</t>
        </is>
      </c>
    </row>
    <row r="16">
      <c r="B16" s="43" t="inlineStr">
        <is>
          <t>On average, how many days per week do you currently spend working on real estate?</t>
        </is>
      </c>
      <c r="C16" s="44" t="n"/>
      <c r="D16" s="28" t="n"/>
      <c r="E16" s="28" t="n"/>
      <c r="F16" t="n">
        <v>1</v>
      </c>
    </row>
    <row r="17">
      <c r="B17" s="43" t="inlineStr">
        <is>
          <t>How many hours do you work on real estate during a typical day?</t>
        </is>
      </c>
      <c r="C17" s="44" t="n"/>
      <c r="D17" s="28" t="n"/>
      <c r="E17" s="28" t="n"/>
      <c r="F17" t="n">
        <v>1</v>
      </c>
    </row>
    <row r="18">
      <c r="B18" s="43" t="inlineStr">
        <is>
          <t>What time do you normally begin your workday?</t>
        </is>
      </c>
      <c r="C18" s="44" t="n"/>
      <c r="D18" s="28" t="n"/>
      <c r="E18" s="28" t="n"/>
      <c r="F18" t="n">
        <v>1</v>
      </c>
    </row>
    <row r="19">
      <c r="B19" s="43" t="inlineStr">
        <is>
          <t>What time do you normally finish your workday?</t>
        </is>
      </c>
      <c r="C19" s="44" t="n"/>
      <c r="D19" s="28" t="n"/>
      <c r="E19" s="28" t="n"/>
      <c r="F19" t="n">
        <v>1</v>
      </c>
    </row>
    <row r="20">
      <c r="B20" s="43" t="inlineStr">
        <is>
          <t>Is your schedule generally consistent from day to day?</t>
        </is>
      </c>
      <c r="C20" s="44" t="n"/>
      <c r="D20" s="28" t="n"/>
      <c r="E20" s="28" t="n"/>
      <c r="F20" t="n">
        <v>1</v>
      </c>
    </row>
    <row r="22">
      <c r="B22" s="46" t="inlineStr">
        <is>
          <t>Day</t>
        </is>
      </c>
      <c r="C22" s="46" t="inlineStr">
        <is>
          <t>Usually Work?</t>
        </is>
      </c>
      <c r="D22" s="46" t="inlineStr">
        <is>
          <t>Approx. Hours</t>
        </is>
      </c>
    </row>
    <row r="23">
      <c r="B23" s="47" t="inlineStr">
        <is>
          <t>Monday</t>
        </is>
      </c>
      <c r="C23" s="36" t="n"/>
      <c r="D23" s="36" t="n"/>
      <c r="F23" t="n">
        <v>1</v>
      </c>
    </row>
    <row r="24">
      <c r="B24" s="47" t="inlineStr">
        <is>
          <t>Tuesday</t>
        </is>
      </c>
      <c r="C24" s="36" t="n"/>
      <c r="D24" s="36" t="n"/>
      <c r="F24" t="n">
        <v>1</v>
      </c>
    </row>
    <row r="25">
      <c r="B25" s="47" t="inlineStr">
        <is>
          <t>Wednesday</t>
        </is>
      </c>
      <c r="C25" s="36" t="n"/>
      <c r="D25" s="36" t="n"/>
      <c r="F25" t="n">
        <v>1</v>
      </c>
    </row>
    <row r="26">
      <c r="B26" s="47" t="inlineStr">
        <is>
          <t>Thursday</t>
        </is>
      </c>
      <c r="C26" s="36" t="n"/>
      <c r="D26" s="36" t="n"/>
      <c r="F26" t="n">
        <v>1</v>
      </c>
    </row>
    <row r="27">
      <c r="B27" s="47" t="inlineStr">
        <is>
          <t>Friday</t>
        </is>
      </c>
      <c r="C27" s="36" t="n"/>
      <c r="D27" s="36" t="n"/>
      <c r="F27" t="n">
        <v>1</v>
      </c>
    </row>
    <row r="28">
      <c r="B28" s="47" t="inlineStr">
        <is>
          <t>Saturday</t>
        </is>
      </c>
      <c r="C28" s="36" t="n"/>
      <c r="D28" s="36" t="n"/>
      <c r="F28" t="n">
        <v>1</v>
      </c>
    </row>
    <row r="29">
      <c r="B29" s="47" t="inlineStr">
        <is>
          <t>Sunday</t>
        </is>
      </c>
      <c r="C29" s="36" t="n"/>
      <c r="D29" s="36" t="n"/>
      <c r="F29" t="n">
        <v>1</v>
      </c>
    </row>
    <row r="31">
      <c r="B31" s="48" t="inlineStr">
        <is>
          <t>How is your typical real estate week divided?</t>
        </is>
      </c>
    </row>
    <row r="32">
      <c r="B32" s="46" t="inlineStr">
        <is>
          <t>Area</t>
        </is>
      </c>
      <c r="C32" s="46" t="inlineStr">
        <is>
          <t>Hours / Week</t>
        </is>
      </c>
    </row>
    <row r="33">
      <c r="B33" s="47" t="inlineStr">
        <is>
          <t>Commercial Real Estate</t>
        </is>
      </c>
      <c r="C33" s="36" t="n"/>
      <c r="F33" t="n">
        <v>1</v>
      </c>
    </row>
    <row r="34">
      <c r="B34" s="47" t="inlineStr">
        <is>
          <t>Residential Real Estate</t>
        </is>
      </c>
      <c r="C34" s="36" t="n"/>
      <c r="F34" t="n">
        <v>1</v>
      </c>
    </row>
    <row r="35">
      <c r="B35" s="47" t="inlineStr">
        <is>
          <t>Administrative / Business Operations</t>
        </is>
      </c>
      <c r="C35" s="36" t="n"/>
      <c r="F35" t="n">
        <v>1</v>
      </c>
    </row>
    <row r="36">
      <c r="B36" s="47" t="inlineStr">
        <is>
          <t>Other</t>
        </is>
      </c>
      <c r="C36" s="36" t="n"/>
      <c r="F36" t="n">
        <v>1</v>
      </c>
    </row>
    <row r="37">
      <c r="B37" s="49" t="inlineStr">
        <is>
          <t>TOTAL</t>
        </is>
      </c>
      <c r="C37" s="50">
        <f>SUM(C33:C36)</f>
        <v/>
      </c>
    </row>
    <row r="38" ht="48" customHeight="1">
      <c r="B38" s="43" t="inlineStr">
        <is>
          <t>If Other, what does that time consist of?</t>
        </is>
      </c>
      <c r="C38" s="44" t="n"/>
      <c r="D38" s="28" t="n"/>
      <c r="E38" s="28" t="n"/>
      <c r="F38" t="n">
        <v>1</v>
      </c>
    </row>
    <row r="40" ht="24" customHeight="1">
      <c r="A40" s="42" t="inlineStr">
        <is>
          <t>3. WHERE DOES YOUR TIME ACTUALLY GO?</t>
        </is>
      </c>
    </row>
    <row r="41" ht="28" customHeight="1">
      <c r="A41" s="45" t="inlineStr">
        <is>
          <t>You do not need to track every minute. Think about a typical week and make your best estimate. Use this guide if you are unsure how to categorize something.</t>
        </is>
      </c>
    </row>
    <row r="42">
      <c r="B42" s="51" t="inlineStr">
        <is>
          <t>Category</t>
        </is>
      </c>
      <c r="C42" s="51" t="inlineStr">
        <is>
          <t>Examples</t>
        </is>
      </c>
    </row>
    <row r="43" ht="26" customHeight="1">
      <c r="B43" s="3" t="inlineStr">
        <is>
          <t>Prospecting / Business Development</t>
        </is>
      </c>
      <c r="C43" s="52" t="inlineStr">
        <is>
          <t>Cold calling, owner outreach, tenant outreach, email campaigns, canvassing, prospect research</t>
        </is>
      </c>
    </row>
    <row r="44" ht="26" customHeight="1">
      <c r="B44" s="3" t="inlineStr">
        <is>
          <t>Client / Deal Work</t>
        </is>
      </c>
      <c r="C44" s="52" t="inlineStr">
        <is>
          <t>Tours, client meetings, LOIs, contracts, negotiations, due diligence, inspections, closing coordination</t>
        </is>
      </c>
    </row>
    <row r="45" ht="26" customHeight="1">
      <c r="B45" s="3" t="inlineStr">
        <is>
          <t>Market Research</t>
        </is>
      </c>
      <c r="C45" s="52" t="inlineStr">
        <is>
          <t>Crexi, CoStar, GIS, Land id, researching ownership, comps, zoning, demographics</t>
        </is>
      </c>
    </row>
    <row r="46" ht="26" customHeight="1">
      <c r="B46" s="3" t="inlineStr">
        <is>
          <t>Follow-Up / CRM</t>
        </is>
      </c>
      <c r="C46" s="52" t="inlineStr">
        <is>
          <t>Returning calls, email follow-up, CRM updates, maintaining prospect lists</t>
        </is>
      </c>
    </row>
    <row r="47" ht="26" customHeight="1">
      <c r="B47" s="3" t="inlineStr">
        <is>
          <t>Networking / Sphere</t>
        </is>
      </c>
      <c r="C47" s="52" t="inlineStr">
        <is>
          <t>KW agents, attorneys, lenders, CPAs, developers, business owners, networking events</t>
        </is>
      </c>
    </row>
    <row r="48" ht="26" customHeight="1">
      <c r="B48" s="3" t="inlineStr">
        <is>
          <t>Marketing</t>
        </is>
      </c>
      <c r="C48" s="52" t="inlineStr">
        <is>
          <t>Social media, property marketing, flyers, listing materials, content creation</t>
        </is>
      </c>
    </row>
    <row r="49" ht="26" customHeight="1">
      <c r="B49" s="3" t="inlineStr">
        <is>
          <t>Residential</t>
        </is>
      </c>
      <c r="C49" s="52" t="inlineStr">
        <is>
          <t>Residential prospecting, showings, listings, buyers, contracts, closings</t>
        </is>
      </c>
    </row>
    <row r="50" ht="26" customHeight="1">
      <c r="B50" s="3" t="inlineStr">
        <is>
          <t>Administrative</t>
        </is>
      </c>
      <c r="C50" s="52" t="inlineStr">
        <is>
          <t>Paperwork, scheduling, expense tracking, file organization, general admin</t>
        </is>
      </c>
    </row>
    <row r="51" ht="26" customHeight="1">
      <c r="B51" s="3" t="inlineStr">
        <is>
          <t>Training / Development</t>
        </is>
      </c>
      <c r="C51" s="52" t="inlineStr">
        <is>
          <t>Courses, meetings, CRE training, technology training, role-playing</t>
        </is>
      </c>
    </row>
    <row r="52" ht="26" customHeight="1">
      <c r="B52" s="3" t="inlineStr">
        <is>
          <t>Other</t>
        </is>
      </c>
      <c r="C52" s="52" t="inlineStr">
        <is>
          <t>Anything that does not reasonably fit above</t>
        </is>
      </c>
    </row>
    <row r="54">
      <c r="B54" s="46" t="inlineStr">
        <is>
          <t>Activity</t>
        </is>
      </c>
      <c r="C54" s="46" t="inlineStr">
        <is>
          <t>Approx. Hours / Week</t>
        </is>
      </c>
      <c r="D54" s="46" t="inlineStr">
        <is>
          <t>% of Real Estate Time</t>
        </is>
      </c>
    </row>
    <row r="55">
      <c r="B55" s="47" t="inlineStr">
        <is>
          <t>Commercial Prospecting / Business Development</t>
        </is>
      </c>
      <c r="C55" s="36" t="n"/>
      <c r="D55" s="53">
        <f>IFERROR(C55/SUM(C$55:C$64),"")</f>
        <v/>
      </c>
      <c r="F55" t="n">
        <v>1</v>
      </c>
    </row>
    <row r="56">
      <c r="B56" s="47" t="inlineStr">
        <is>
          <t>Commercial Client &amp; Deal Work</t>
        </is>
      </c>
      <c r="C56" s="36" t="n"/>
      <c r="D56" s="53">
        <f>IFERROR(C56/SUM(C$55:C$64),"")</f>
        <v/>
      </c>
      <c r="F56" t="n">
        <v>1</v>
      </c>
    </row>
    <row r="57">
      <c r="B57" s="47" t="inlineStr">
        <is>
          <t>Commercial Market Research</t>
        </is>
      </c>
      <c r="C57" s="36" t="n"/>
      <c r="D57" s="53">
        <f>IFERROR(C57/SUM(C$55:C$64),"")</f>
        <v/>
      </c>
      <c r="F57" t="n">
        <v>1</v>
      </c>
    </row>
    <row r="58">
      <c r="B58" s="47" t="inlineStr">
        <is>
          <t>Follow-Up / CRM</t>
        </is>
      </c>
      <c r="C58" s="36" t="n"/>
      <c r="D58" s="53">
        <f>IFERROR(C58/SUM(C$55:C$64),"")</f>
        <v/>
      </c>
      <c r="F58" t="n">
        <v>1</v>
      </c>
    </row>
    <row r="59">
      <c r="B59" s="47" t="inlineStr">
        <is>
          <t>Networking / Sphere Development</t>
        </is>
      </c>
      <c r="C59" s="36" t="n"/>
      <c r="D59" s="53">
        <f>IFERROR(C59/SUM(C$55:C$64),"")</f>
        <v/>
      </c>
      <c r="F59" t="n">
        <v>1</v>
      </c>
    </row>
    <row r="60">
      <c r="B60" s="47" t="inlineStr">
        <is>
          <t>Marketing / Content</t>
        </is>
      </c>
      <c r="C60" s="36" t="n"/>
      <c r="D60" s="53">
        <f>IFERROR(C60/SUM(C$55:C$64),"")</f>
        <v/>
      </c>
      <c r="F60" t="n">
        <v>1</v>
      </c>
    </row>
    <row r="61">
      <c r="B61" s="47" t="inlineStr">
        <is>
          <t>Residential Business</t>
        </is>
      </c>
      <c r="C61" s="36" t="n"/>
      <c r="D61" s="53">
        <f>IFERROR(C61/SUM(C$55:C$64),"")</f>
        <v/>
      </c>
      <c r="F61" t="n">
        <v>1</v>
      </c>
    </row>
    <row r="62">
      <c r="B62" s="47" t="inlineStr">
        <is>
          <t>Administrative Work</t>
        </is>
      </c>
      <c r="C62" s="36" t="n"/>
      <c r="D62" s="53">
        <f>IFERROR(C62/SUM(C$55:C$64),"")</f>
        <v/>
      </c>
      <c r="F62" t="n">
        <v>1</v>
      </c>
    </row>
    <row r="63">
      <c r="B63" s="47" t="inlineStr">
        <is>
          <t>Training / Professional Development</t>
        </is>
      </c>
      <c r="C63" s="36" t="n"/>
      <c r="D63" s="53">
        <f>IFERROR(C63/SUM(C$55:C$64),"")</f>
        <v/>
      </c>
      <c r="F63" t="n">
        <v>1</v>
      </c>
    </row>
    <row r="64">
      <c r="B64" s="47" t="inlineStr">
        <is>
          <t>Other</t>
        </is>
      </c>
      <c r="C64" s="36" t="n"/>
      <c r="D64" s="53">
        <f>IFERROR(C64/SUM(C$55:C$64),"")</f>
        <v/>
      </c>
      <c r="F64" t="n">
        <v>1</v>
      </c>
    </row>
    <row r="65">
      <c r="B65" s="49" t="inlineStr">
        <is>
          <t>TOTAL</t>
        </is>
      </c>
      <c r="C65" s="50">
        <f>SUM(C55:C64)</f>
        <v/>
      </c>
      <c r="D65" s="54">
        <f>IFERROR(SUM(D55:D64),"")</f>
        <v/>
      </c>
    </row>
    <row r="66" ht="48" customHeight="1">
      <c r="B66" s="43" t="inlineStr">
        <is>
          <t>If you listed time under Other, please explain:</t>
        </is>
      </c>
      <c r="C66" s="44" t="n"/>
      <c r="D66" s="28" t="n"/>
      <c r="E66" s="28" t="n"/>
      <c r="F66" t="n">
        <v>1</v>
      </c>
    </row>
    <row r="67" ht="48" customHeight="1">
      <c r="B67" s="43" t="inlineStr">
        <is>
          <t>Which activities take up the MOST time in your week?</t>
        </is>
      </c>
      <c r="C67" s="44" t="n"/>
      <c r="D67" s="28" t="n"/>
      <c r="E67" s="28" t="n"/>
      <c r="F67" t="n">
        <v>1</v>
      </c>
    </row>
    <row r="68" ht="48" customHeight="1">
      <c r="B68" s="43" t="inlineStr">
        <is>
          <t>Which activities are currently producing the MOST business for you?</t>
        </is>
      </c>
      <c r="C68" s="44" t="n"/>
      <c r="D68" s="28" t="n"/>
      <c r="E68" s="28" t="n"/>
      <c r="F68" t="n">
        <v>1</v>
      </c>
    </row>
    <row r="69" ht="48" customHeight="1">
      <c r="B69" s="43" t="inlineStr">
        <is>
          <t>What do you feel you are spending too much time doing?</t>
        </is>
      </c>
      <c r="C69" s="44" t="n"/>
      <c r="D69" s="28" t="n"/>
      <c r="E69" s="28" t="n"/>
      <c r="F69" t="n">
        <v>1</v>
      </c>
    </row>
    <row r="70" ht="48" customHeight="1">
      <c r="B70" s="43" t="inlineStr">
        <is>
          <t>What do you feel you are not spending enough time doing?</t>
        </is>
      </c>
      <c r="C70" s="44" t="n"/>
      <c r="D70" s="28" t="n"/>
      <c r="E70" s="28" t="n"/>
      <c r="F70" t="n">
        <v>1</v>
      </c>
    </row>
    <row r="72" ht="24" customHeight="1">
      <c r="A72" s="42" t="inlineStr">
        <is>
          <t>4. HOW DO YOU STRUCTURE YOUR DAY?</t>
        </is>
      </c>
    </row>
    <row r="73">
      <c r="B73" s="43" t="inlineStr">
        <is>
          <t>Do you currently plan your workday in advance?</t>
        </is>
      </c>
      <c r="C73" s="44" t="n"/>
      <c r="D73" s="28" t="n"/>
      <c r="E73" s="28" t="n"/>
      <c r="F73" t="n">
        <v>1</v>
      </c>
    </row>
    <row r="74">
      <c r="B74" s="43" t="inlineStr">
        <is>
          <t>Do you currently use time blocks for specific activities?</t>
        </is>
      </c>
      <c r="C74" s="44" t="n"/>
      <c r="D74" s="28" t="n"/>
      <c r="E74" s="28" t="n"/>
      <c r="F74" t="n">
        <v>1</v>
      </c>
    </row>
    <row r="75">
      <c r="B75" s="43" t="inlineStr">
        <is>
          <t>Do you have a dedicated prospecting period during your day?</t>
        </is>
      </c>
      <c r="C75" s="44" t="n"/>
      <c r="D75" s="28" t="n"/>
      <c r="E75" s="28" t="n"/>
      <c r="F75" t="n">
        <v>1</v>
      </c>
    </row>
    <row r="76">
      <c r="B76" s="43" t="inlineStr">
        <is>
          <t>If yes — typical prospecting time (e.g. 9:00–11:00 AM):</t>
        </is>
      </c>
      <c r="C76" s="44" t="n"/>
      <c r="D76" s="28" t="n"/>
      <c r="E76" s="28" t="n"/>
      <c r="F76" t="n">
        <v>1</v>
      </c>
    </row>
    <row r="77">
      <c r="B77" s="43" t="inlineStr">
        <is>
          <t>If yes — typical length:</t>
        </is>
      </c>
      <c r="C77" s="44" t="n"/>
      <c r="D77" s="28" t="n"/>
      <c r="E77" s="28" t="n"/>
      <c r="F77" t="n">
        <v>1</v>
      </c>
    </row>
    <row r="78" ht="48" customHeight="1">
      <c r="B78" s="43" t="inlineStr">
        <is>
          <t>When do you feel you are most productive during the day?</t>
        </is>
      </c>
      <c r="C78" s="44" t="n"/>
      <c r="D78" s="28" t="n"/>
      <c r="E78" s="28" t="n"/>
      <c r="F78" t="n">
        <v>1</v>
      </c>
    </row>
    <row r="79" ht="48" customHeight="1">
      <c r="B79" s="43" t="inlineStr">
        <is>
          <t>What normally causes your schedule to get off track?</t>
        </is>
      </c>
      <c r="C79" s="44" t="n"/>
      <c r="D79" s="28" t="n"/>
      <c r="E79" s="28" t="n"/>
      <c r="F79" t="n">
        <v>1</v>
      </c>
    </row>
    <row r="80" ht="48" customHeight="1">
      <c r="B80" s="43" t="inlineStr">
        <is>
          <t>What is the first business-producing activity you normally do each day?</t>
        </is>
      </c>
      <c r="C80" s="44" t="n"/>
      <c r="D80" s="28" t="n"/>
      <c r="E80" s="28" t="n"/>
      <c r="F80" t="n">
        <v>1</v>
      </c>
    </row>
    <row r="81" ht="48" customHeight="1">
      <c r="B81" s="43" t="inlineStr">
        <is>
          <t>What usually consumes more time than you intended?</t>
        </is>
      </c>
      <c r="C81" s="44" t="n"/>
      <c r="D81" s="28" t="n"/>
      <c r="E81" s="28" t="n"/>
      <c r="F81" t="n">
        <v>1</v>
      </c>
    </row>
    <row r="83" ht="24" customHeight="1">
      <c r="A83" s="42" t="inlineStr">
        <is>
          <t>5. HOW ARE YOU CURRENTLY GENERATING BUSINESS?</t>
        </is>
      </c>
    </row>
    <row r="84" ht="28" customHeight="1">
      <c r="A84" s="45" t="inlineStr">
        <is>
          <t>Activity level: 0 = Not currently using · 1 = Occasionally · 3 = Consistently · 5 = Major part of my business</t>
        </is>
      </c>
    </row>
    <row r="85">
      <c r="B85" s="46" t="inlineStr">
        <is>
          <t>Business Development Source</t>
        </is>
      </c>
      <c r="C85" s="46" t="inlineStr">
        <is>
          <t>Activity Level 0–5</t>
        </is>
      </c>
      <c r="D85" s="46" t="inlineStr">
        <is>
          <t>Generated a Real Opportunity?</t>
        </is>
      </c>
    </row>
    <row r="86">
      <c r="B86" s="47" t="inlineStr">
        <is>
          <t>Cold Calling Property Owners</t>
        </is>
      </c>
      <c r="C86" s="36" t="n"/>
      <c r="D86" s="36" t="n"/>
      <c r="F86" t="n">
        <v>1</v>
      </c>
    </row>
    <row r="87">
      <c r="B87" s="47" t="inlineStr">
        <is>
          <t>Calling Businesses / Tenants</t>
        </is>
      </c>
      <c r="C87" s="36" t="n"/>
      <c r="D87" s="36" t="n"/>
      <c r="F87" t="n">
        <v>1</v>
      </c>
    </row>
    <row r="88">
      <c r="B88" s="47" t="inlineStr">
        <is>
          <t>Sphere of Influence</t>
        </is>
      </c>
      <c r="C88" s="36" t="n"/>
      <c r="D88" s="36" t="n"/>
      <c r="F88" t="n">
        <v>1</v>
      </c>
    </row>
    <row r="89">
      <c r="B89" s="47" t="inlineStr">
        <is>
          <t>Past Clients</t>
        </is>
      </c>
      <c r="C89" s="36" t="n"/>
      <c r="D89" s="36" t="n"/>
      <c r="F89" t="n">
        <v>1</v>
      </c>
    </row>
    <row r="90">
      <c r="B90" s="47" t="inlineStr">
        <is>
          <t>Current Clients</t>
        </is>
      </c>
      <c r="C90" s="36" t="n"/>
      <c r="D90" s="36" t="n"/>
      <c r="F90" t="n">
        <v>1</v>
      </c>
    </row>
    <row r="91">
      <c r="B91" s="47" t="inlineStr">
        <is>
          <t>KW Residential Agent Referrals</t>
        </is>
      </c>
      <c r="C91" s="36" t="n"/>
      <c r="D91" s="36" t="n"/>
      <c r="F91" t="n">
        <v>1</v>
      </c>
    </row>
    <row r="92">
      <c r="B92" s="47" t="inlineStr">
        <is>
          <t>KW Commercial Referrals</t>
        </is>
      </c>
      <c r="C92" s="36" t="n"/>
      <c r="D92" s="36" t="n"/>
      <c r="F92" t="n">
        <v>1</v>
      </c>
    </row>
    <row r="93">
      <c r="B93" s="47" t="inlineStr">
        <is>
          <t>Outside Broker Referrals</t>
        </is>
      </c>
      <c r="C93" s="36" t="n"/>
      <c r="D93" s="36" t="n"/>
      <c r="F93" t="n">
        <v>1</v>
      </c>
    </row>
    <row r="94">
      <c r="B94" s="47" t="inlineStr">
        <is>
          <t>Attorneys</t>
        </is>
      </c>
      <c r="C94" s="36" t="n"/>
      <c r="D94" s="36" t="n"/>
      <c r="F94" t="n">
        <v>1</v>
      </c>
    </row>
    <row r="95">
      <c r="B95" s="47" t="inlineStr">
        <is>
          <t>CPAs / Accountants</t>
        </is>
      </c>
      <c r="C95" s="36" t="n"/>
      <c r="D95" s="36" t="n"/>
      <c r="F95" t="n">
        <v>1</v>
      </c>
    </row>
    <row r="96">
      <c r="B96" s="47" t="inlineStr">
        <is>
          <t>Lenders / Bankers</t>
        </is>
      </c>
      <c r="C96" s="36" t="n"/>
      <c r="D96" s="36" t="n"/>
      <c r="F96" t="n">
        <v>1</v>
      </c>
    </row>
    <row r="97">
      <c r="B97" s="47" t="inlineStr">
        <is>
          <t>Developers / Builders</t>
        </is>
      </c>
      <c r="C97" s="36" t="n"/>
      <c r="D97" s="36" t="n"/>
      <c r="F97" t="n">
        <v>1</v>
      </c>
    </row>
    <row r="98">
      <c r="B98" s="47" t="inlineStr">
        <is>
          <t>Investors</t>
        </is>
      </c>
      <c r="C98" s="36" t="n"/>
      <c r="D98" s="36" t="n"/>
      <c r="F98" t="n">
        <v>1</v>
      </c>
    </row>
    <row r="99">
      <c r="B99" s="47" t="inlineStr">
        <is>
          <t>Business Owners</t>
        </is>
      </c>
      <c r="C99" s="36" t="n"/>
      <c r="D99" s="36" t="n"/>
      <c r="F99" t="n">
        <v>1</v>
      </c>
    </row>
    <row r="100">
      <c r="B100" s="47" t="inlineStr">
        <is>
          <t>Networking Organizations</t>
        </is>
      </c>
      <c r="C100" s="36" t="n"/>
      <c r="D100" s="36" t="n"/>
      <c r="F100" t="n">
        <v>1</v>
      </c>
    </row>
    <row r="101">
      <c r="B101" s="47" t="inlineStr">
        <is>
          <t>Email Campaigns</t>
        </is>
      </c>
      <c r="C101" s="36" t="n"/>
      <c r="D101" s="36" t="n"/>
      <c r="F101" t="n">
        <v>1</v>
      </c>
    </row>
    <row r="102">
      <c r="B102" s="47" t="inlineStr">
        <is>
          <t>Direct Mail</t>
        </is>
      </c>
      <c r="C102" s="36" t="n"/>
      <c r="D102" s="36" t="n"/>
      <c r="F102" t="n">
        <v>1</v>
      </c>
    </row>
    <row r="103">
      <c r="B103" s="47" t="inlineStr">
        <is>
          <t>Social Media / Content</t>
        </is>
      </c>
      <c r="C103" s="36" t="n"/>
      <c r="D103" s="36" t="n"/>
      <c r="F103" t="n">
        <v>1</v>
      </c>
    </row>
    <row r="104">
      <c r="B104" s="47" t="inlineStr">
        <is>
          <t>Crexi / Online Platforms</t>
        </is>
      </c>
      <c r="C104" s="36" t="n"/>
      <c r="D104" s="36" t="n"/>
      <c r="F104" t="n">
        <v>1</v>
      </c>
    </row>
    <row r="105">
      <c r="B105" s="47" t="inlineStr">
        <is>
          <t>Database / CRM Follow-Up</t>
        </is>
      </c>
      <c r="C105" s="36" t="n"/>
      <c r="D105" s="36" t="n"/>
      <c r="F105" t="n">
        <v>1</v>
      </c>
    </row>
    <row r="106">
      <c r="B106" s="47" t="inlineStr">
        <is>
          <t>Property Visits / Canvassing</t>
        </is>
      </c>
      <c r="C106" s="36" t="n"/>
      <c r="D106" s="36" t="n"/>
      <c r="F106" t="n">
        <v>1</v>
      </c>
    </row>
    <row r="107">
      <c r="B107" s="47" t="inlineStr">
        <is>
          <t>Market Center Relationships</t>
        </is>
      </c>
      <c r="C107" s="36" t="n"/>
      <c r="D107" s="36" t="n"/>
      <c r="F107" t="n">
        <v>1</v>
      </c>
    </row>
    <row r="108">
      <c r="B108" s="47" t="inlineStr">
        <is>
          <t>Other</t>
        </is>
      </c>
      <c r="C108" s="36" t="n"/>
      <c r="D108" s="36" t="n"/>
      <c r="F108" t="n">
        <v>1</v>
      </c>
    </row>
    <row r="109" ht="48" customHeight="1">
      <c r="B109" s="43" t="inlineStr">
        <is>
          <t>If Other, please explain:</t>
        </is>
      </c>
      <c r="C109" s="44" t="n"/>
      <c r="D109" s="28" t="n"/>
      <c r="E109" s="28" t="n"/>
      <c r="F109" t="n">
        <v>1</v>
      </c>
    </row>
    <row r="110" ht="48" customHeight="1">
      <c r="B110" s="43" t="inlineStr">
        <is>
          <t>What are currently your TOP THREE sources of business?</t>
        </is>
      </c>
      <c r="C110" s="44" t="n"/>
      <c r="D110" s="28" t="n"/>
      <c r="E110" s="28" t="n"/>
      <c r="F110" t="n">
        <v>1</v>
      </c>
    </row>
    <row r="111" ht="48" customHeight="1">
      <c r="B111" s="43" t="inlineStr">
        <is>
          <t>Which one has produced the most actual opportunities or transactions?</t>
        </is>
      </c>
      <c r="C111" s="44" t="n"/>
      <c r="D111" s="28" t="n"/>
      <c r="E111" s="28" t="n"/>
      <c r="F111" t="n">
        <v>1</v>
      </c>
    </row>
    <row r="112" ht="48" customHeight="1">
      <c r="B112" s="43" t="inlineStr">
        <is>
          <t>Which business-development channel do you believe you should be using more?</t>
        </is>
      </c>
      <c r="C112" s="44" t="n"/>
      <c r="D112" s="28" t="n"/>
      <c r="E112" s="28" t="n"/>
      <c r="F112" t="n">
        <v>1</v>
      </c>
    </row>
    <row r="114" ht="24" customHeight="1">
      <c r="A114" s="42" t="inlineStr">
        <is>
          <t>6. YOUR MARKET CENTER</t>
        </is>
      </c>
    </row>
    <row r="115" ht="48" customHeight="1">
      <c r="B115" s="43" t="inlineStr">
        <is>
          <t>How have you been developing relationships within your Market Center?</t>
        </is>
      </c>
      <c r="C115" s="44" t="n"/>
      <c r="D115" s="28" t="n"/>
      <c r="E115" s="28" t="n"/>
      <c r="F115" t="n">
        <v>1</v>
      </c>
    </row>
    <row r="116">
      <c r="B116" s="43" t="inlineStr">
        <is>
          <t>How many residential agents in your Market Center know that you handle commercial real estate?</t>
        </is>
      </c>
      <c r="C116" s="44" t="n"/>
      <c r="D116" s="28" t="n"/>
      <c r="E116" s="28" t="n"/>
      <c r="F116" t="n">
        <v>1</v>
      </c>
    </row>
    <row r="117">
      <c r="B117" s="48" t="inlineStr">
        <is>
          <t>What have you done to generate commercial referrals from your Market Center?  (select Yes for all that apply)</t>
        </is>
      </c>
    </row>
    <row r="118">
      <c r="B118" s="47" t="inlineStr">
        <is>
          <t xml:space="preserve">      Introduced myself individually to agents</t>
        </is>
      </c>
      <c r="C118" s="36" t="n"/>
    </row>
    <row r="119">
      <c r="B119" s="47" t="inlineStr">
        <is>
          <t xml:space="preserve">      Attended team/office meetings</t>
        </is>
      </c>
      <c r="C119" s="36" t="n"/>
    </row>
    <row r="120">
      <c r="B120" s="47" t="inlineStr">
        <is>
          <t xml:space="preserve">      Given commercial real estate presentations</t>
        </is>
      </c>
      <c r="C120" s="36" t="n"/>
    </row>
    <row r="121">
      <c r="B121" s="47" t="inlineStr">
        <is>
          <t xml:space="preserve">      Shared commercial opportunities/listings</t>
        </is>
      </c>
      <c r="C121" s="36" t="n"/>
    </row>
    <row r="122">
      <c r="B122" s="47" t="inlineStr">
        <is>
          <t xml:space="preserve">      Asked agents directly for referrals</t>
        </is>
      </c>
      <c r="C122" s="36" t="n"/>
    </row>
    <row r="123">
      <c r="B123" s="47" t="inlineStr">
        <is>
          <t xml:space="preserve">      Helped agents with commercial questions</t>
        </is>
      </c>
      <c r="C123" s="36" t="n"/>
    </row>
    <row r="124">
      <c r="B124" s="47" t="inlineStr">
        <is>
          <t xml:space="preserve">      Developed relationships with leadership</t>
        </is>
      </c>
      <c r="C124" s="36" t="n"/>
    </row>
    <row r="125">
      <c r="B125" s="47" t="inlineStr">
        <is>
          <t xml:space="preserve">      Participated in office events</t>
        </is>
      </c>
      <c r="C125" s="36" t="n"/>
    </row>
    <row r="126">
      <c r="B126" s="47" t="inlineStr">
        <is>
          <t xml:space="preserve">      Sent emails/newsletters to agents</t>
        </is>
      </c>
      <c r="C126" s="36" t="n"/>
    </row>
    <row r="127">
      <c r="B127" s="47" t="inlineStr">
        <is>
          <t xml:space="preserve">      Shared CRE educational content</t>
        </is>
      </c>
      <c r="C127" s="36" t="n"/>
    </row>
    <row r="128">
      <c r="B128" s="47" t="inlineStr">
        <is>
          <t xml:space="preserve">      Nothing consistently yet</t>
        </is>
      </c>
      <c r="C128" s="36" t="n"/>
    </row>
    <row r="129">
      <c r="B129" s="47" t="inlineStr">
        <is>
          <t xml:space="preserve">      Other (describe →)</t>
        </is>
      </c>
      <c r="C129" s="36" t="n"/>
      <c r="D129" s="28" t="n"/>
    </row>
    <row r="130">
      <c r="B130" s="43" t="inlineStr">
        <is>
          <t>Meaningful conversations with Market Center agents in a typical month:</t>
        </is>
      </c>
      <c r="C130" s="44" t="n"/>
      <c r="D130" s="28" t="n"/>
      <c r="E130" s="28" t="n"/>
      <c r="F130" t="n">
        <v>1</v>
      </c>
    </row>
    <row r="131">
      <c r="B131" s="43" t="inlineStr">
        <is>
          <t>Commercial referrals received from your Market Center in the past 90 days:</t>
        </is>
      </c>
      <c r="C131" s="44" t="n"/>
      <c r="D131" s="28" t="n"/>
      <c r="E131" s="28" t="n"/>
      <c r="F131" t="n">
        <v>1</v>
      </c>
    </row>
    <row r="132" ht="48" customHeight="1">
      <c r="B132" s="43" t="inlineStr">
        <is>
          <t>What could you do differently over the next 90 days to become the commercial resource within your office?</t>
        </is>
      </c>
      <c r="C132" s="44" t="n"/>
      <c r="D132" s="28" t="n"/>
      <c r="E132" s="28" t="n"/>
      <c r="F132" t="n">
        <v>1</v>
      </c>
    </row>
    <row r="134" ht="24" customHeight="1">
      <c r="A134" s="42" t="inlineStr">
        <is>
          <t>7. YOUR SPHERE OF INFLUENCE</t>
        </is>
      </c>
    </row>
    <row r="135">
      <c r="B135" s="48" t="inlineStr">
        <is>
          <t>Who currently knows that you work in commercial real estate?  (select Yes for all that apply)</t>
        </is>
      </c>
    </row>
    <row r="136">
      <c r="B136" s="47" t="inlineStr">
        <is>
          <t xml:space="preserve">      Friends / Family</t>
        </is>
      </c>
      <c r="C136" s="36" t="n"/>
    </row>
    <row r="137">
      <c r="B137" s="47" t="inlineStr">
        <is>
          <t xml:space="preserve">      Former Clients</t>
        </is>
      </c>
      <c r="C137" s="36" t="n"/>
    </row>
    <row r="138">
      <c r="B138" s="47" t="inlineStr">
        <is>
          <t xml:space="preserve">      Residential Clients</t>
        </is>
      </c>
      <c r="C138" s="36" t="n"/>
    </row>
    <row r="139">
      <c r="B139" s="47" t="inlineStr">
        <is>
          <t xml:space="preserve">      Business Owners</t>
        </is>
      </c>
      <c r="C139" s="36" t="n"/>
    </row>
    <row r="140">
      <c r="B140" s="47" t="inlineStr">
        <is>
          <t xml:space="preserve">      Investors</t>
        </is>
      </c>
      <c r="C140" s="36" t="n"/>
    </row>
    <row r="141">
      <c r="B141" s="47" t="inlineStr">
        <is>
          <t xml:space="preserve">      Attorneys</t>
        </is>
      </c>
      <c r="C141" s="36" t="n"/>
    </row>
    <row r="142">
      <c r="B142" s="47" t="inlineStr">
        <is>
          <t xml:space="preserve">      CPAs</t>
        </is>
      </c>
      <c r="C142" s="36" t="n"/>
    </row>
    <row r="143">
      <c r="B143" s="47" t="inlineStr">
        <is>
          <t xml:space="preserve">      Lenders</t>
        </is>
      </c>
      <c r="C143" s="36" t="n"/>
    </row>
    <row r="144">
      <c r="B144" s="47" t="inlineStr">
        <is>
          <t xml:space="preserve">      Developers</t>
        </is>
      </c>
      <c r="C144" s="36" t="n"/>
    </row>
    <row r="145">
      <c r="B145" s="47" t="inlineStr">
        <is>
          <t xml:space="preserve">      Contractors</t>
        </is>
      </c>
      <c r="C145" s="36" t="n"/>
    </row>
    <row r="146">
      <c r="B146" s="47" t="inlineStr">
        <is>
          <t xml:space="preserve">      Other Brokers</t>
        </is>
      </c>
      <c r="C146" s="36" t="n"/>
    </row>
    <row r="147">
      <c r="B147" s="47" t="inlineStr">
        <is>
          <t xml:space="preserve">      Community Organizations</t>
        </is>
      </c>
      <c r="C147" s="36" t="n"/>
    </row>
    <row r="148">
      <c r="B148" s="47" t="inlineStr">
        <is>
          <t xml:space="preserve">      Other (describe →)</t>
        </is>
      </c>
      <c r="C148" s="36" t="n"/>
      <c r="D148" s="28" t="n"/>
    </row>
    <row r="149">
      <c r="B149" s="43" t="inlineStr">
        <is>
          <t>Approximately how many people are part of your professional sphere today?</t>
        </is>
      </c>
      <c r="C149" s="44" t="n"/>
      <c r="D149" s="28" t="n"/>
      <c r="E149" s="28" t="n"/>
      <c r="F149" t="n">
        <v>1</v>
      </c>
    </row>
    <row r="150">
      <c r="B150" s="43" t="inlineStr">
        <is>
          <t>How often are you intentionally communicating with your sphere?</t>
        </is>
      </c>
      <c r="C150" s="44" t="n"/>
      <c r="D150" s="28" t="n"/>
      <c r="E150" s="28" t="n"/>
      <c r="F150" t="n">
        <v>1</v>
      </c>
    </row>
    <row r="151" ht="48" customHeight="1">
      <c r="B151" s="43" t="inlineStr">
        <is>
          <t>What are you currently doing to grow your sphere?</t>
        </is>
      </c>
      <c r="C151" s="44" t="n"/>
      <c r="D151" s="28" t="n"/>
      <c r="E151" s="28" t="n"/>
      <c r="F151" t="n">
        <v>1</v>
      </c>
    </row>
    <row r="152" ht="48" customHeight="1">
      <c r="B152" s="43" t="inlineStr">
        <is>
          <t>Five people or categories of people you should be building stronger relationships with:</t>
        </is>
      </c>
      <c r="C152" s="44" t="n"/>
      <c r="D152" s="28" t="n"/>
      <c r="E152" s="28" t="n"/>
      <c r="F152" t="n">
        <v>1</v>
      </c>
    </row>
    <row r="154" ht="24" customHeight="1">
      <c r="A154" s="42" t="inlineStr">
        <is>
          <t>8. MARKET &amp; PRODUCT FOCUS</t>
        </is>
      </c>
    </row>
    <row r="155">
      <c r="B155" s="43" t="inlineStr">
        <is>
          <t>Do you currently have a defined commercial real estate focus?</t>
        </is>
      </c>
      <c r="C155" s="44" t="n"/>
      <c r="D155" s="28" t="n"/>
      <c r="E155" s="28" t="n"/>
      <c r="F155" t="n">
        <v>1</v>
      </c>
    </row>
    <row r="156">
      <c r="B156" s="43" t="inlineStr">
        <is>
          <t>Are you focusing on a particular geographic area?</t>
        </is>
      </c>
      <c r="C156" s="44" t="n"/>
      <c r="D156" s="28" t="n"/>
      <c r="E156" s="28" t="n"/>
      <c r="F156" t="n">
        <v>1</v>
      </c>
    </row>
    <row r="157">
      <c r="B157" s="43" t="inlineStr">
        <is>
          <t>Primary Market:</t>
        </is>
      </c>
      <c r="C157" s="44" t="n"/>
      <c r="D157" s="28" t="n"/>
      <c r="E157" s="28" t="n"/>
      <c r="F157" t="n">
        <v>1</v>
      </c>
    </row>
    <row r="158">
      <c r="B158" s="43" t="inlineStr">
        <is>
          <t>Secondary Market:</t>
        </is>
      </c>
      <c r="C158" s="44" t="n"/>
      <c r="D158" s="28" t="n"/>
      <c r="E158" s="28" t="n"/>
      <c r="F158" t="n">
        <v>1</v>
      </c>
    </row>
    <row r="159" ht="48" customHeight="1">
      <c r="B159" s="43" t="inlineStr">
        <is>
          <t>Specific submarkets / corridors / neighborhoods:</t>
        </is>
      </c>
      <c r="C159" s="44" t="n"/>
      <c r="D159" s="28" t="n"/>
      <c r="E159" s="28" t="n"/>
      <c r="F159" t="n">
        <v>1</v>
      </c>
    </row>
    <row r="160">
      <c r="B160" s="48" t="inlineStr">
        <is>
          <t>Which property types are you currently pursuing?  (select Yes for all that apply)</t>
        </is>
      </c>
    </row>
    <row r="161">
      <c r="B161" s="47" t="inlineStr">
        <is>
          <t xml:space="preserve">      Retail</t>
        </is>
      </c>
      <c r="C161" s="36" t="n"/>
    </row>
    <row r="162">
      <c r="B162" s="47" t="inlineStr">
        <is>
          <t xml:space="preserve">      Office</t>
        </is>
      </c>
      <c r="C162" s="36" t="n"/>
    </row>
    <row r="163">
      <c r="B163" s="47" t="inlineStr">
        <is>
          <t xml:space="preserve">      Industrial</t>
        </is>
      </c>
      <c r="C163" s="36" t="n"/>
    </row>
    <row r="164">
      <c r="B164" s="47" t="inlineStr">
        <is>
          <t xml:space="preserve">      Land</t>
        </is>
      </c>
      <c r="C164" s="36" t="n"/>
    </row>
    <row r="165">
      <c r="B165" s="47" t="inlineStr">
        <is>
          <t xml:space="preserve">      Multifamily</t>
        </is>
      </c>
      <c r="C165" s="36" t="n"/>
    </row>
    <row r="166">
      <c r="B166" s="47" t="inlineStr">
        <is>
          <t xml:space="preserve">      Medical / Healthcare</t>
        </is>
      </c>
      <c r="C166" s="36" t="n"/>
    </row>
    <row r="167">
      <c r="B167" s="47" t="inlineStr">
        <is>
          <t xml:space="preserve">      Hospitality</t>
        </is>
      </c>
      <c r="C167" s="36" t="n"/>
    </row>
    <row r="168">
      <c r="B168" s="47" t="inlineStr">
        <is>
          <t xml:space="preserve">      Investment Sales</t>
        </is>
      </c>
      <c r="C168" s="36" t="n"/>
    </row>
    <row r="169">
      <c r="B169" s="47" t="inlineStr">
        <is>
          <t xml:space="preserve">      Development</t>
        </is>
      </c>
      <c r="C169" s="36" t="n"/>
    </row>
    <row r="170">
      <c r="B170" s="47" t="inlineStr">
        <is>
          <t xml:space="preserve">      Business Brokerage</t>
        </is>
      </c>
      <c r="C170" s="36" t="n"/>
    </row>
    <row r="171">
      <c r="B171" s="47" t="inlineStr">
        <is>
          <t xml:space="preserve">      Other (describe →)</t>
        </is>
      </c>
      <c r="C171" s="36" t="n"/>
      <c r="D171" s="28" t="n"/>
    </row>
    <row r="172" ht="48" customHeight="1">
      <c r="B172" s="43" t="inlineStr">
        <is>
          <t>Which ONE or TWO areas would you most like to become known for?</t>
        </is>
      </c>
      <c r="C172" s="44" t="n"/>
      <c r="D172" s="28" t="n"/>
      <c r="E172" s="28" t="n"/>
      <c r="F172" t="n">
        <v>1</v>
      </c>
    </row>
    <row r="173" ht="48" customHeight="1">
      <c r="B173" s="43" t="inlineStr">
        <is>
          <t>If someone asked you today, “What type of commercial real estate do you specialize in?” what would you say?</t>
        </is>
      </c>
      <c r="C173" s="44" t="n"/>
      <c r="D173" s="28" t="n"/>
      <c r="E173" s="28" t="n"/>
      <c r="F173" t="n">
        <v>1</v>
      </c>
    </row>
    <row r="174" ht="48" customHeight="1">
      <c r="B174" s="43" t="inlineStr">
        <is>
          <t>Do you feel confident saying that? Why or why not?</t>
        </is>
      </c>
      <c r="C174" s="44" t="n"/>
      <c r="D174" s="28" t="n"/>
      <c r="E174" s="28" t="n"/>
      <c r="F174" t="n">
        <v>1</v>
      </c>
    </row>
    <row r="176" ht="24" customHeight="1">
      <c r="A176" s="42" t="inlineStr">
        <is>
          <t>9. CURRENT COMMERCIAL PIPELINE</t>
        </is>
      </c>
    </row>
    <row r="177" ht="28" customHeight="1">
      <c r="A177" s="45" t="inlineStr">
        <is>
          <t>Do your best. Exact numbers are not required.</t>
        </is>
      </c>
    </row>
    <row r="178">
      <c r="B178" s="46" t="inlineStr">
        <is>
          <t>Category</t>
        </is>
      </c>
      <c r="C178" s="46" t="inlineStr">
        <is>
          <t>#</t>
        </is>
      </c>
      <c r="D178" s="46" t="inlineStr">
        <is>
          <t>Approx. Transaction Volume</t>
        </is>
      </c>
      <c r="E178" s="46" t="inlineStr">
        <is>
          <t>Potential GCI</t>
        </is>
      </c>
    </row>
    <row r="179">
      <c r="B179" s="47" t="inlineStr">
        <is>
          <t>Active Listings</t>
        </is>
      </c>
      <c r="C179" s="36" t="n"/>
      <c r="D179" s="37" t="n"/>
      <c r="E179" s="37" t="n"/>
      <c r="F179" t="n">
        <v>1</v>
      </c>
    </row>
    <row r="180">
      <c r="B180" s="47" t="inlineStr">
        <is>
          <t>Buyer Assignments</t>
        </is>
      </c>
      <c r="C180" s="36" t="n"/>
      <c r="D180" s="37" t="n"/>
      <c r="E180" s="37" t="n"/>
      <c r="F180" t="n">
        <v>1</v>
      </c>
    </row>
    <row r="181">
      <c r="B181" s="47" t="inlineStr">
        <is>
          <t>Tenant Representation</t>
        </is>
      </c>
      <c r="C181" s="36" t="n"/>
      <c r="D181" s="37" t="n"/>
      <c r="E181" s="37" t="n"/>
      <c r="F181" t="n">
        <v>1</v>
      </c>
    </row>
    <row r="182">
      <c r="B182" s="47" t="inlineStr">
        <is>
          <t>Landlord Representation</t>
        </is>
      </c>
      <c r="C182" s="36" t="n"/>
      <c r="D182" s="37" t="n"/>
      <c r="E182" s="37" t="n"/>
      <c r="F182" t="n">
        <v>1</v>
      </c>
    </row>
    <row r="183">
      <c r="B183" s="47" t="inlineStr">
        <is>
          <t>Active LOIs</t>
        </is>
      </c>
      <c r="C183" s="36" t="n"/>
      <c r="D183" s="37" t="n"/>
      <c r="E183" s="37" t="n"/>
      <c r="F183" t="n">
        <v>1</v>
      </c>
    </row>
    <row r="184">
      <c r="B184" s="47" t="inlineStr">
        <is>
          <t>Under Contract</t>
        </is>
      </c>
      <c r="C184" s="36" t="n"/>
      <c r="D184" s="37" t="n"/>
      <c r="E184" s="37" t="n"/>
      <c r="F184" t="n">
        <v>1</v>
      </c>
    </row>
    <row r="185">
      <c r="B185" s="47" t="inlineStr">
        <is>
          <t>Qualified Prospects</t>
        </is>
      </c>
      <c r="C185" s="36" t="n"/>
      <c r="D185" s="37" t="n"/>
      <c r="E185" s="37" t="n"/>
      <c r="F185" t="n">
        <v>1</v>
      </c>
    </row>
    <row r="186">
      <c r="B186" s="47" t="inlineStr">
        <is>
          <t>Early-Stage Opportunities</t>
        </is>
      </c>
      <c r="C186" s="36" t="n"/>
      <c r="D186" s="37" t="n"/>
      <c r="E186" s="37" t="n"/>
      <c r="F186" t="n">
        <v>1</v>
      </c>
    </row>
    <row r="187">
      <c r="B187" s="49" t="inlineStr">
        <is>
          <t>TOTAL</t>
        </is>
      </c>
      <c r="C187" s="50">
        <f>SUM(C179:C186)</f>
        <v/>
      </c>
      <c r="D187" s="55">
        <f>SUM(D179:D186)</f>
        <v/>
      </c>
      <c r="E187" s="55">
        <f>SUM(E179:E186)</f>
        <v/>
      </c>
    </row>
    <row r="188">
      <c r="B188" s="43" t="inlineStr">
        <is>
          <t>New commercial opportunities created in the last 30 days:</t>
        </is>
      </c>
      <c r="C188" s="44" t="n"/>
      <c r="D188" s="28" t="n"/>
      <c r="E188" s="28" t="n"/>
      <c r="F188" t="n">
        <v>1</v>
      </c>
    </row>
    <row r="189">
      <c r="B189" s="43" t="inlineStr">
        <is>
          <t>Prospect/client meetings in the last 30 days:</t>
        </is>
      </c>
      <c r="C189" s="44" t="n"/>
      <c r="D189" s="28" t="n"/>
      <c r="E189" s="28" t="n"/>
      <c r="F189" t="n">
        <v>1</v>
      </c>
    </row>
    <row r="190">
      <c r="B190" s="43" t="inlineStr">
        <is>
          <t>New people added to your commercial database in the last 30 days:</t>
        </is>
      </c>
      <c r="C190" s="44" t="n"/>
      <c r="D190" s="28" t="n"/>
      <c r="E190" s="28" t="n"/>
      <c r="F190" t="n">
        <v>1</v>
      </c>
    </row>
    <row r="191">
      <c r="B191" s="43" t="inlineStr">
        <is>
          <t>How many follow-ups are currently outstanding? (number or “Unsure”)</t>
        </is>
      </c>
      <c r="C191" s="44" t="n"/>
      <c r="D191" s="28" t="n"/>
      <c r="E191" s="28" t="n"/>
      <c r="F191" t="n">
        <v>1</v>
      </c>
    </row>
    <row r="192">
      <c r="B192" s="43" t="inlineStr">
        <is>
          <t>Do you currently know what your commercial pipeline is worth in potential GCI?</t>
        </is>
      </c>
      <c r="C192" s="44" t="n"/>
      <c r="D192" s="28" t="n"/>
      <c r="E192" s="28" t="n"/>
      <c r="F192" t="n">
        <v>1</v>
      </c>
    </row>
    <row r="194" ht="24" customHeight="1">
      <c r="A194" s="42" t="inlineStr">
        <is>
          <t>10. SKILLS &amp; CONFIDENCE ASSESSMENT</t>
        </is>
      </c>
    </row>
    <row r="195" ht="28" customHeight="1">
      <c r="A195" s="45" t="inlineStr">
        <is>
          <t>Rate yourself honestly.  1 = Need substantial help · 3 = Comfortable · 5 = Strong enough to teach someone else</t>
        </is>
      </c>
    </row>
    <row r="196">
      <c r="B196" s="46" t="inlineStr">
        <is>
          <t>Area</t>
        </is>
      </c>
      <c r="C196" s="46" t="inlineStr">
        <is>
          <t>Score 1–5</t>
        </is>
      </c>
    </row>
    <row r="197">
      <c r="B197" s="47" t="inlineStr">
        <is>
          <t>Cold Calling</t>
        </is>
      </c>
      <c r="C197" s="36" t="n"/>
      <c r="F197" t="n">
        <v>1</v>
      </c>
    </row>
    <row r="198">
      <c r="B198" s="47" t="inlineStr">
        <is>
          <t>Prospecting</t>
        </is>
      </c>
      <c r="C198" s="36" t="n"/>
      <c r="F198" t="n">
        <v>1</v>
      </c>
    </row>
    <row r="199">
      <c r="B199" s="47" t="inlineStr">
        <is>
          <t>Building Prospect Lists</t>
        </is>
      </c>
      <c r="C199" s="36" t="n"/>
      <c r="F199" t="n">
        <v>1</v>
      </c>
    </row>
    <row r="200">
      <c r="B200" s="47" t="inlineStr">
        <is>
          <t>Getting Decision Makers on the Phone</t>
        </is>
      </c>
      <c r="C200" s="36" t="n"/>
      <c r="F200" t="n">
        <v>1</v>
      </c>
    </row>
    <row r="201">
      <c r="B201" s="47" t="inlineStr">
        <is>
          <t>Converting Conversations into Meetings</t>
        </is>
      </c>
      <c r="C201" s="36" t="n"/>
      <c r="F201" t="n">
        <v>1</v>
      </c>
    </row>
    <row r="202">
      <c r="B202" s="47" t="inlineStr">
        <is>
          <t>Discovery Meetings</t>
        </is>
      </c>
      <c r="C202" s="36" t="n"/>
      <c r="F202" t="n">
        <v>1</v>
      </c>
    </row>
    <row r="203">
      <c r="B203" s="47" t="inlineStr">
        <is>
          <t>Listing Presentations</t>
        </is>
      </c>
      <c r="C203" s="36" t="n"/>
      <c r="F203" t="n">
        <v>1</v>
      </c>
    </row>
    <row r="204">
      <c r="B204" s="47" t="inlineStr">
        <is>
          <t>Buyer / Tenant Presentations</t>
        </is>
      </c>
      <c r="C204" s="36" t="n"/>
      <c r="F204" t="n">
        <v>1</v>
      </c>
    </row>
    <row r="205">
      <c r="B205" s="47" t="inlineStr">
        <is>
          <t>Market Research</t>
        </is>
      </c>
      <c r="C205" s="36" t="n"/>
      <c r="F205" t="n">
        <v>1</v>
      </c>
    </row>
    <row r="206">
      <c r="B206" s="47" t="inlineStr">
        <is>
          <t>Land id</t>
        </is>
      </c>
      <c r="C206" s="36" t="n"/>
      <c r="F206" t="n">
        <v>1</v>
      </c>
    </row>
    <row r="207">
      <c r="B207" s="47" t="inlineStr">
        <is>
          <t>Crexi</t>
        </is>
      </c>
      <c r="C207" s="36" t="n"/>
      <c r="F207" t="n">
        <v>1</v>
      </c>
    </row>
    <row r="208">
      <c r="B208" s="47" t="inlineStr">
        <is>
          <t>GIS</t>
        </is>
      </c>
      <c r="C208" s="36" t="n"/>
      <c r="F208" t="n">
        <v>1</v>
      </c>
    </row>
    <row r="209">
      <c r="B209" s="47" t="inlineStr">
        <is>
          <t>CRM / Database Management</t>
        </is>
      </c>
      <c r="C209" s="36" t="n"/>
      <c r="F209" t="n">
        <v>1</v>
      </c>
    </row>
    <row r="210">
      <c r="B210" s="47" t="inlineStr">
        <is>
          <t>Financial Underwriting</t>
        </is>
      </c>
      <c r="C210" s="36" t="n"/>
      <c r="F210" t="n">
        <v>1</v>
      </c>
    </row>
    <row r="211">
      <c r="B211" s="47" t="inlineStr">
        <is>
          <t>NOI / Cap Rate / Valuation</t>
        </is>
      </c>
      <c r="C211" s="36" t="n"/>
      <c r="F211" t="n">
        <v>1</v>
      </c>
    </row>
    <row r="212">
      <c r="B212" s="47" t="inlineStr">
        <is>
          <t>BOV Preparation</t>
        </is>
      </c>
      <c r="C212" s="36" t="n"/>
      <c r="F212" t="n">
        <v>1</v>
      </c>
    </row>
    <row r="213">
      <c r="B213" s="47" t="inlineStr">
        <is>
          <t>LOIs</t>
        </is>
      </c>
      <c r="C213" s="36" t="n"/>
      <c r="F213" t="n">
        <v>1</v>
      </c>
    </row>
    <row r="214">
      <c r="B214" s="47" t="inlineStr">
        <is>
          <t>Purchase Agreements</t>
        </is>
      </c>
      <c r="C214" s="36" t="n"/>
      <c r="F214" t="n">
        <v>1</v>
      </c>
    </row>
    <row r="215">
      <c r="B215" s="47" t="inlineStr">
        <is>
          <t>Commercial Leases</t>
        </is>
      </c>
      <c r="C215" s="36" t="n"/>
      <c r="F215" t="n">
        <v>1</v>
      </c>
    </row>
    <row r="216">
      <c r="B216" s="47" t="inlineStr">
        <is>
          <t>Due Diligence</t>
        </is>
      </c>
      <c r="C216" s="36" t="n"/>
      <c r="F216" t="n">
        <v>1</v>
      </c>
    </row>
    <row r="217">
      <c r="B217" s="47" t="inlineStr">
        <is>
          <t>Negotiation</t>
        </is>
      </c>
      <c r="C217" s="36" t="n"/>
      <c r="F217" t="n">
        <v>1</v>
      </c>
    </row>
    <row r="218">
      <c r="B218" s="47" t="inlineStr">
        <is>
          <t>Deal Management</t>
        </is>
      </c>
      <c r="C218" s="36" t="n"/>
      <c r="F218" t="n">
        <v>1</v>
      </c>
    </row>
    <row r="219">
      <c r="B219" s="47" t="inlineStr">
        <is>
          <t>Client Follow-Up</t>
        </is>
      </c>
      <c r="C219" s="36" t="n"/>
      <c r="F219" t="n">
        <v>1</v>
      </c>
    </row>
    <row r="220">
      <c r="B220" s="47" t="inlineStr">
        <is>
          <t>Networking</t>
        </is>
      </c>
      <c r="C220" s="36" t="n"/>
      <c r="F220" t="n">
        <v>1</v>
      </c>
    </row>
    <row r="221">
      <c r="B221" s="47" t="inlineStr">
        <is>
          <t>Referral Development</t>
        </is>
      </c>
      <c r="C221" s="36" t="n"/>
      <c r="F221" t="n">
        <v>1</v>
      </c>
    </row>
    <row r="222">
      <c r="B222" s="47" t="inlineStr">
        <is>
          <t>AI / ChatGPT</t>
        </is>
      </c>
      <c r="C222" s="36" t="n"/>
      <c r="F222" t="n">
        <v>1</v>
      </c>
    </row>
    <row r="223">
      <c r="B223" s="47" t="inlineStr">
        <is>
          <t>Personal Organization</t>
        </is>
      </c>
      <c r="C223" s="36" t="n"/>
      <c r="F223" t="n">
        <v>1</v>
      </c>
    </row>
    <row r="224">
      <c r="B224" s="47" t="inlineStr">
        <is>
          <t>Time Management</t>
        </is>
      </c>
      <c r="C224" s="36" t="n"/>
      <c r="F224" t="n">
        <v>1</v>
      </c>
    </row>
    <row r="225" ht="48" customHeight="1">
      <c r="B225" s="43" t="inlineStr">
        <is>
          <t>Three areas where you feel strongest:</t>
        </is>
      </c>
      <c r="C225" s="44" t="n"/>
      <c r="D225" s="28" t="n"/>
      <c r="E225" s="28" t="n"/>
      <c r="F225" t="n">
        <v>1</v>
      </c>
    </row>
    <row r="226" ht="48" customHeight="1">
      <c r="B226" s="43" t="inlineStr">
        <is>
          <t>Three areas where you most want help:</t>
        </is>
      </c>
      <c r="C226" s="44" t="n"/>
      <c r="D226" s="28" t="n"/>
      <c r="E226" s="28" t="n"/>
      <c r="F226" t="n">
        <v>1</v>
      </c>
    </row>
    <row r="228" ht="24" customHeight="1">
      <c r="A228" s="42" t="inlineStr">
        <is>
          <t>11. PAIN POINTS &amp; AREAS FOR IMPROVEMENT</t>
        </is>
      </c>
    </row>
    <row r="229">
      <c r="B229" s="48" t="inlineStr">
        <is>
          <t>What do you believe is currently preventing you from growing faster?  (select Yes for all that apply)</t>
        </is>
      </c>
    </row>
    <row r="230">
      <c r="B230" s="47" t="inlineStr">
        <is>
          <t xml:space="preserve">      Not enough prospecting</t>
        </is>
      </c>
      <c r="C230" s="36" t="n"/>
    </row>
    <row r="231">
      <c r="B231" s="47" t="inlineStr">
        <is>
          <t xml:space="preserve">      Difficulty finding prospects</t>
        </is>
      </c>
      <c r="C231" s="36" t="n"/>
    </row>
    <row r="232">
      <c r="B232" s="47" t="inlineStr">
        <is>
          <t xml:space="preserve">      Difficulty making calls</t>
        </is>
      </c>
      <c r="C232" s="36" t="n"/>
    </row>
    <row r="233">
      <c r="B233" s="47" t="inlineStr">
        <is>
          <t xml:space="preserve">      Difficulty converting calls</t>
        </is>
      </c>
      <c r="C233" s="36" t="n"/>
    </row>
    <row r="234">
      <c r="B234" s="47" t="inlineStr">
        <is>
          <t xml:space="preserve">      Follow-up</t>
        </is>
      </c>
      <c r="C234" s="36" t="n"/>
    </row>
    <row r="235">
      <c r="B235" s="47" t="inlineStr">
        <is>
          <t xml:space="preserve">      Time management</t>
        </is>
      </c>
      <c r="C235" s="36" t="n"/>
    </row>
    <row r="236">
      <c r="B236" s="47" t="inlineStr">
        <is>
          <t xml:space="preserve">      Daily structure</t>
        </is>
      </c>
      <c r="C236" s="36" t="n"/>
    </row>
    <row r="237">
      <c r="B237" s="47" t="inlineStr">
        <is>
          <t xml:space="preserve">      Residential business consuming time</t>
        </is>
      </c>
      <c r="C237" s="36" t="n"/>
    </row>
    <row r="238">
      <c r="B238" s="47" t="inlineStr">
        <is>
          <t xml:space="preserve">      Lack of experience</t>
        </is>
      </c>
      <c r="C238" s="36" t="n"/>
    </row>
    <row r="239">
      <c r="B239" s="47" t="inlineStr">
        <is>
          <t xml:space="preserve">      Lack of confidence</t>
        </is>
      </c>
      <c r="C239" s="36" t="n"/>
    </row>
    <row r="240">
      <c r="B240" s="47" t="inlineStr">
        <is>
          <t xml:space="preserve">      Market knowledge</t>
        </is>
      </c>
      <c r="C240" s="36" t="n"/>
    </row>
    <row r="241">
      <c r="B241" s="47" t="inlineStr">
        <is>
          <t xml:space="preserve">      Product knowledge</t>
        </is>
      </c>
      <c r="C241" s="36" t="n"/>
    </row>
    <row r="242">
      <c r="B242" s="47" t="inlineStr">
        <is>
          <t xml:space="preserve">      Financial analysis</t>
        </is>
      </c>
      <c r="C242" s="36" t="n"/>
    </row>
    <row r="243">
      <c r="B243" s="47" t="inlineStr">
        <is>
          <t xml:space="preserve">      Contracts / LOIs</t>
        </is>
      </c>
      <c r="C243" s="36" t="n"/>
    </row>
    <row r="244">
      <c r="B244" s="47" t="inlineStr">
        <is>
          <t xml:space="preserve">      Negotiation</t>
        </is>
      </c>
      <c r="C244" s="36" t="n"/>
    </row>
    <row r="245">
      <c r="B245" s="47" t="inlineStr">
        <is>
          <t xml:space="preserve">      Technology</t>
        </is>
      </c>
      <c r="C245" s="36" t="n"/>
    </row>
    <row r="246">
      <c r="B246" s="47" t="inlineStr">
        <is>
          <t xml:space="preserve">      Marketing</t>
        </is>
      </c>
      <c r="C246" s="36" t="n"/>
    </row>
    <row r="247">
      <c r="B247" s="47" t="inlineStr">
        <is>
          <t xml:space="preserve">      Building a sphere</t>
        </is>
      </c>
      <c r="C247" s="36" t="n"/>
    </row>
    <row r="248">
      <c r="B248" s="47" t="inlineStr">
        <is>
          <t xml:space="preserve">      Market Center relationships</t>
        </is>
      </c>
      <c r="C248" s="36" t="n"/>
    </row>
    <row r="249">
      <c r="B249" s="47" t="inlineStr">
        <is>
          <t xml:space="preserve">      Lack of specialization</t>
        </is>
      </c>
      <c r="C249" s="36" t="n"/>
    </row>
    <row r="250">
      <c r="B250" s="47" t="inlineStr">
        <is>
          <t xml:space="preserve">      Organization / CRM</t>
        </is>
      </c>
      <c r="C250" s="36" t="n"/>
    </row>
    <row r="251">
      <c r="B251" s="47" t="inlineStr">
        <is>
          <t xml:space="preserve">      Accountability</t>
        </is>
      </c>
      <c r="C251" s="36" t="n"/>
    </row>
    <row r="252">
      <c r="B252" s="47" t="inlineStr">
        <is>
          <t xml:space="preserve">      Other (describe →)</t>
        </is>
      </c>
      <c r="C252" s="36" t="n"/>
      <c r="D252" s="28" t="n"/>
    </row>
    <row r="253" ht="48" customHeight="1">
      <c r="B253" s="43" t="inlineStr">
        <is>
          <t>What is your single biggest pain point right now?</t>
        </is>
      </c>
      <c r="C253" s="44" t="n"/>
      <c r="D253" s="28" t="n"/>
      <c r="E253" s="28" t="n"/>
      <c r="F253" t="n">
        <v>1</v>
      </c>
    </row>
    <row r="254" ht="48" customHeight="1">
      <c r="B254" s="43" t="inlineStr">
        <is>
          <t>What is one recurring problem in your business that you would like help solving?</t>
        </is>
      </c>
      <c r="C254" s="44" t="n"/>
      <c r="D254" s="28" t="n"/>
      <c r="E254" s="28" t="n"/>
      <c r="F254" t="n">
        <v>1</v>
      </c>
    </row>
    <row r="255" ht="48" customHeight="1">
      <c r="B255" s="43" t="inlineStr">
        <is>
          <t>What is something you know you should be doing but have not consistently done?</t>
        </is>
      </c>
      <c r="C255" s="44" t="n"/>
      <c r="D255" s="28" t="n"/>
      <c r="E255" s="28" t="n"/>
      <c r="F255" t="n">
        <v>1</v>
      </c>
    </row>
    <row r="257" ht="24" customHeight="1">
      <c r="A257" s="42" t="inlineStr">
        <is>
          <t>12. PRAEDIUM SUPPORT &amp; DEVELOPMENT</t>
        </is>
      </c>
    </row>
    <row r="258">
      <c r="B258" s="46" t="inlineStr">
        <is>
          <t>Area</t>
        </is>
      </c>
      <c r="C258" s="46" t="inlineStr">
        <is>
          <t>Need More Support?</t>
        </is>
      </c>
    </row>
    <row r="259">
      <c r="B259" s="47" t="inlineStr">
        <is>
          <t>Prospecting</t>
        </is>
      </c>
      <c r="C259" s="36" t="n"/>
      <c r="F259" t="n">
        <v>1</v>
      </c>
    </row>
    <row r="260">
      <c r="B260" s="47" t="inlineStr">
        <is>
          <t>Prospect Lists</t>
        </is>
      </c>
      <c r="C260" s="36" t="n"/>
      <c r="F260" t="n">
        <v>1</v>
      </c>
    </row>
    <row r="261">
      <c r="B261" s="47" t="inlineStr">
        <is>
          <t>Market Research</t>
        </is>
      </c>
      <c r="C261" s="36" t="n"/>
      <c r="F261" t="n">
        <v>1</v>
      </c>
    </row>
    <row r="262">
      <c r="B262" s="47" t="inlineStr">
        <is>
          <t>Deal Strategy</t>
        </is>
      </c>
      <c r="C262" s="36" t="n"/>
      <c r="F262" t="n">
        <v>1</v>
      </c>
    </row>
    <row r="263">
      <c r="B263" s="47" t="inlineStr">
        <is>
          <t>Underwriting</t>
        </is>
      </c>
      <c r="C263" s="36" t="n"/>
      <c r="F263" t="n">
        <v>1</v>
      </c>
    </row>
    <row r="264">
      <c r="B264" s="47" t="inlineStr">
        <is>
          <t>Contracts / LOIs</t>
        </is>
      </c>
      <c r="C264" s="36" t="n"/>
      <c r="F264" t="n">
        <v>1</v>
      </c>
    </row>
    <row r="265">
      <c r="B265" s="47" t="inlineStr">
        <is>
          <t>Negotiation</t>
        </is>
      </c>
      <c r="C265" s="36" t="n"/>
      <c r="F265" t="n">
        <v>1</v>
      </c>
    </row>
    <row r="266">
      <c r="B266" s="47" t="inlineStr">
        <is>
          <t>Listing Presentations</t>
        </is>
      </c>
      <c r="C266" s="36" t="n"/>
      <c r="F266" t="n">
        <v>1</v>
      </c>
    </row>
    <row r="267">
      <c r="B267" s="47" t="inlineStr">
        <is>
          <t>Marketing</t>
        </is>
      </c>
      <c r="C267" s="36" t="n"/>
      <c r="F267" t="n">
        <v>1</v>
      </c>
    </row>
    <row r="268">
      <c r="B268" s="47" t="inlineStr">
        <is>
          <t>Technology</t>
        </is>
      </c>
      <c r="C268" s="36" t="n"/>
      <c r="F268" t="n">
        <v>1</v>
      </c>
    </row>
    <row r="269">
      <c r="B269" s="47" t="inlineStr">
        <is>
          <t>CRM</t>
        </is>
      </c>
      <c r="C269" s="36" t="n"/>
      <c r="F269" t="n">
        <v>1</v>
      </c>
    </row>
    <row r="270">
      <c r="B270" s="47" t="inlineStr">
        <is>
          <t>Administrative Support</t>
        </is>
      </c>
      <c r="C270" s="36" t="n"/>
      <c r="F270" t="n">
        <v>1</v>
      </c>
    </row>
    <row r="271">
      <c r="B271" s="47" t="inlineStr">
        <is>
          <t>Joint Meetings / Calls</t>
        </is>
      </c>
      <c r="C271" s="36" t="n"/>
      <c r="F271" t="n">
        <v>1</v>
      </c>
    </row>
    <row r="272">
      <c r="B272" s="47" t="inlineStr">
        <is>
          <t>Mentoring</t>
        </is>
      </c>
      <c r="C272" s="36" t="n"/>
      <c r="F272" t="n">
        <v>1</v>
      </c>
    </row>
    <row r="273">
      <c r="B273" s="47" t="inlineStr">
        <is>
          <t>Accountability</t>
        </is>
      </c>
      <c r="C273" s="36" t="n"/>
      <c r="F273" t="n">
        <v>1</v>
      </c>
    </row>
    <row r="274">
      <c r="B274" s="47" t="inlineStr">
        <is>
          <t>Referrals</t>
        </is>
      </c>
      <c r="C274" s="36" t="n"/>
      <c r="F274" t="n">
        <v>1</v>
      </c>
    </row>
    <row r="275">
      <c r="B275" s="47" t="inlineStr">
        <is>
          <t>Market Center Development</t>
        </is>
      </c>
      <c r="C275" s="36" t="n"/>
      <c r="F275" t="n">
        <v>1</v>
      </c>
    </row>
    <row r="276">
      <c r="B276" s="47" t="inlineStr">
        <is>
          <t>Specialized CRE Training</t>
        </is>
      </c>
      <c r="C276" s="36" t="n"/>
      <c r="F276" t="n">
        <v>1</v>
      </c>
    </row>
    <row r="277" ht="48" customHeight="1">
      <c r="B277" s="43" t="inlineStr">
        <is>
          <t>What could Praedium do that would make the biggest difference in your business?</t>
        </is>
      </c>
      <c r="C277" s="44" t="n"/>
      <c r="D277" s="28" t="n"/>
      <c r="E277" s="28" t="n"/>
      <c r="F277" t="n">
        <v>1</v>
      </c>
    </row>
    <row r="278" ht="48" customHeight="1">
      <c r="B278" s="43" t="inlineStr">
        <is>
          <t>What do you need more of from me personally?</t>
        </is>
      </c>
      <c r="C278" s="44" t="n"/>
      <c r="D278" s="28" t="n"/>
      <c r="E278" s="28" t="n"/>
      <c r="F278" t="n">
        <v>1</v>
      </c>
    </row>
    <row r="279" ht="48" customHeight="1">
      <c r="B279" s="43" t="inlineStr">
        <is>
          <t>What should we be doing as a team that we are currently not doing?</t>
        </is>
      </c>
      <c r="C279" s="44" t="n"/>
      <c r="D279" s="28" t="n"/>
      <c r="E279" s="28" t="n"/>
      <c r="F279" t="n">
        <v>1</v>
      </c>
    </row>
    <row r="280" ht="48" customHeight="1">
      <c r="B280" s="43" t="inlineStr">
        <is>
          <t>What would you most like to learn during our biweekly meetings?</t>
        </is>
      </c>
      <c r="C280" s="44" t="n"/>
      <c r="D280" s="28" t="n"/>
      <c r="E280" s="28" t="n"/>
      <c r="F280" t="n">
        <v>1</v>
      </c>
    </row>
    <row r="282" ht="24" customHeight="1">
      <c r="A282" s="42" t="inlineStr">
        <is>
          <t>13. Q4 GOALS  (Oct 1 – Dec 31)</t>
        </is>
      </c>
    </row>
    <row r="283" ht="28" customHeight="1">
      <c r="A283" s="45" t="inlineStr">
        <is>
          <t>These goals feed your Weekly Scorecard — progress is tracked against them automatically.</t>
        </is>
      </c>
    </row>
    <row r="284">
      <c r="B284" s="43" t="inlineStr">
        <is>
          <t>Commercial Transaction Volume Goal ($)</t>
        </is>
      </c>
      <c r="C284" s="56" t="n"/>
      <c r="D284" s="28" t="n"/>
      <c r="E284" s="28" t="n"/>
      <c r="F284" t="n">
        <v>1</v>
      </c>
    </row>
    <row r="285">
      <c r="B285" s="43" t="inlineStr">
        <is>
          <t>Commercial GCI Goal ($)</t>
        </is>
      </c>
      <c r="C285" s="56" t="n"/>
      <c r="D285" s="28" t="n"/>
      <c r="E285" s="28" t="n"/>
      <c r="F285" t="n">
        <v>1</v>
      </c>
    </row>
    <row r="286">
      <c r="B286" s="43" t="inlineStr">
        <is>
          <t>Number of Closings</t>
        </is>
      </c>
      <c r="C286" s="44" t="n"/>
      <c r="D286" s="28" t="n"/>
      <c r="E286" s="28" t="n"/>
      <c r="F286" t="n">
        <v>1</v>
      </c>
    </row>
    <row r="287">
      <c r="B287" s="43" t="inlineStr">
        <is>
          <t>New Listings</t>
        </is>
      </c>
      <c r="C287" s="44" t="n"/>
      <c r="D287" s="28" t="n"/>
      <c r="E287" s="28" t="n"/>
      <c r="F287" t="n">
        <v>1</v>
      </c>
    </row>
    <row r="288">
      <c r="B288" s="43" t="inlineStr">
        <is>
          <t>New Buyer / Tenant Assignments</t>
        </is>
      </c>
      <c r="C288" s="44" t="n"/>
      <c r="D288" s="28" t="n"/>
      <c r="E288" s="28" t="n"/>
      <c r="F288" t="n">
        <v>1</v>
      </c>
    </row>
    <row r="289">
      <c r="B289" s="43" t="inlineStr">
        <is>
          <t>Qualified Opportunities Created</t>
        </is>
      </c>
      <c r="C289" s="44" t="n"/>
      <c r="D289" s="28" t="n"/>
      <c r="E289" s="28" t="n"/>
      <c r="F289" t="n">
        <v>1</v>
      </c>
    </row>
    <row r="290">
      <c r="B290" s="43" t="inlineStr">
        <is>
          <t>Meetings Per Month</t>
        </is>
      </c>
      <c r="C290" s="44" t="n"/>
      <c r="D290" s="28" t="n"/>
      <c r="E290" s="28" t="n"/>
      <c r="F290" t="n">
        <v>1</v>
      </c>
    </row>
    <row r="291" ht="48" customHeight="1">
      <c r="B291" s="43" t="inlineStr">
        <is>
          <t>The three most important things you want to accomplish before December 31:</t>
        </is>
      </c>
      <c r="C291" s="44" t="n"/>
      <c r="D291" s="28" t="n"/>
      <c r="E291" s="28" t="n"/>
      <c r="F291" t="n">
        <v>1</v>
      </c>
    </row>
    <row r="293" ht="24" customHeight="1">
      <c r="A293" s="42" t="inlineStr">
        <is>
          <t>14. 2027 GOALS</t>
        </is>
      </c>
    </row>
    <row r="294">
      <c r="B294" s="43" t="inlineStr">
        <is>
          <t>2027 Commercial Volume Goal ($)</t>
        </is>
      </c>
      <c r="C294" s="56" t="n"/>
      <c r="D294" s="28" t="n"/>
      <c r="E294" s="28" t="n"/>
      <c r="F294" t="n">
        <v>1</v>
      </c>
    </row>
    <row r="295">
      <c r="B295" s="43" t="inlineStr">
        <is>
          <t>2027 Commercial GCI Goal ($)</t>
        </is>
      </c>
      <c r="C295" s="56" t="n"/>
      <c r="D295" s="28" t="n"/>
      <c r="E295" s="28" t="n"/>
      <c r="F295" t="n">
        <v>1</v>
      </c>
    </row>
    <row r="296">
      <c r="B296" s="43" t="inlineStr">
        <is>
          <t>Transactions Closed</t>
        </is>
      </c>
      <c r="C296" s="44" t="n"/>
      <c r="D296" s="28" t="n"/>
      <c r="E296" s="28" t="n"/>
      <c r="F296" t="n">
        <v>1</v>
      </c>
    </row>
    <row r="297">
      <c r="B297" s="43" t="inlineStr">
        <is>
          <t>Listings Obtained</t>
        </is>
      </c>
      <c r="C297" s="44" t="n"/>
      <c r="D297" s="28" t="n"/>
      <c r="E297" s="28" t="n"/>
      <c r="F297" t="n">
        <v>1</v>
      </c>
    </row>
    <row r="298">
      <c r="B298" s="43" t="inlineStr">
        <is>
          <t>Primary Geography</t>
        </is>
      </c>
      <c r="C298" s="44" t="n"/>
      <c r="D298" s="28" t="n"/>
      <c r="E298" s="28" t="n"/>
      <c r="F298" t="n">
        <v>1</v>
      </c>
    </row>
    <row r="299">
      <c r="B299" s="43" t="inlineStr">
        <is>
          <t>Primary Product Type</t>
        </is>
      </c>
      <c r="C299" s="44" t="n"/>
      <c r="D299" s="28" t="n"/>
      <c r="E299" s="28" t="n"/>
      <c r="F299" t="n">
        <v>1</v>
      </c>
    </row>
    <row r="300">
      <c r="B300" s="43" t="inlineStr">
        <is>
          <t>What % of your business would you LIKE to be commercial by the end of 2027?</t>
        </is>
      </c>
      <c r="C300" s="57" t="n"/>
      <c r="D300" s="28" t="n"/>
      <c r="E300" s="28" t="n"/>
      <c r="F300" t="n">
        <v>1</v>
      </c>
    </row>
    <row r="301" ht="48" customHeight="1">
      <c r="B301" s="43" t="inlineStr">
        <is>
          <t>What would a successful 2027 look like to you?</t>
        </is>
      </c>
      <c r="C301" s="44" t="n"/>
      <c r="D301" s="28" t="n"/>
      <c r="E301" s="28" t="n"/>
      <c r="F301" t="n">
        <v>1</v>
      </c>
    </row>
    <row r="302" ht="48" customHeight="1">
      <c r="B302" s="43" t="inlineStr">
        <is>
          <t>What would need to change between now and then for that to happen?</t>
        </is>
      </c>
      <c r="C302" s="44" t="n"/>
      <c r="D302" s="28" t="n"/>
      <c r="E302" s="28" t="n"/>
      <c r="F302" t="n">
        <v>1</v>
      </c>
    </row>
    <row r="304" ht="24" customHeight="1">
      <c r="A304" s="42" t="inlineStr">
        <is>
          <t>15. YOUR NEXT 90 DAYS</t>
        </is>
      </c>
    </row>
    <row r="305" ht="48" customHeight="1">
      <c r="B305" s="43" t="inlineStr">
        <is>
          <t>One thing I need to STOP doing:</t>
        </is>
      </c>
      <c r="C305" s="44" t="n"/>
      <c r="D305" s="28" t="n"/>
      <c r="E305" s="28" t="n"/>
      <c r="F305" t="n">
        <v>1</v>
      </c>
    </row>
    <row r="306" ht="48" customHeight="1">
      <c r="B306" s="43" t="inlineStr">
        <is>
          <t>One thing I need to START doing:</t>
        </is>
      </c>
      <c r="C306" s="44" t="n"/>
      <c r="D306" s="28" t="n"/>
      <c r="E306" s="28" t="n"/>
      <c r="F306" t="n">
        <v>1</v>
      </c>
    </row>
    <row r="307" ht="48" customHeight="1">
      <c r="B307" s="43" t="inlineStr">
        <is>
          <t>One thing I need to CONTINUE doing:</t>
        </is>
      </c>
      <c r="C307" s="44" t="n"/>
      <c r="D307" s="28" t="n"/>
      <c r="E307" s="28" t="n"/>
      <c r="F307" t="n">
        <v>1</v>
      </c>
    </row>
    <row r="308" ht="48" customHeight="1">
      <c r="B308" s="43" t="inlineStr">
        <is>
          <t>My primary prospecting strategy will be:</t>
        </is>
      </c>
      <c r="C308" s="44" t="n"/>
      <c r="D308" s="28" t="n"/>
      <c r="E308" s="28" t="n"/>
      <c r="F308" t="n">
        <v>1</v>
      </c>
    </row>
    <row r="309" ht="48" customHeight="1">
      <c r="B309" s="43" t="inlineStr">
        <is>
          <t>My primary market / product focus will be:</t>
        </is>
      </c>
      <c r="C309" s="44" t="n"/>
      <c r="D309" s="28" t="n"/>
      <c r="E309" s="28" t="n"/>
      <c r="F309" t="n">
        <v>1</v>
      </c>
    </row>
    <row r="310" ht="48" customHeight="1">
      <c r="B310" s="43" t="inlineStr">
        <is>
          <t>The biggest improvement I want to make over the next 90 days is:</t>
        </is>
      </c>
      <c r="C310" s="44" t="n"/>
      <c r="D310" s="28" t="n"/>
      <c r="E310" s="28" t="n"/>
      <c r="F310" t="n">
        <v>1</v>
      </c>
    </row>
    <row r="311" ht="48" customHeight="1">
      <c r="B311" s="43" t="inlineStr">
        <is>
          <t>One commitment I am making to myself before our next meeting:</t>
        </is>
      </c>
      <c r="C311" s="44" t="n"/>
      <c r="D311" s="28" t="n"/>
      <c r="E311" s="28" t="n"/>
      <c r="F311" t="n">
        <v>1</v>
      </c>
    </row>
  </sheetData>
  <mergeCells count="123">
    <mergeCell ref="C44:E44"/>
    <mergeCell ref="C255:E255"/>
    <mergeCell ref="C80:E80"/>
    <mergeCell ref="A1:E1"/>
    <mergeCell ref="C192:E192"/>
    <mergeCell ref="C51:E51"/>
    <mergeCell ref="C297:E297"/>
    <mergeCell ref="C299:E299"/>
    <mergeCell ref="C7:E7"/>
    <mergeCell ref="A282:E282"/>
    <mergeCell ref="C155:E155"/>
    <mergeCell ref="C307:E307"/>
    <mergeCell ref="C18:E18"/>
    <mergeCell ref="C49:E49"/>
    <mergeCell ref="C285:E285"/>
    <mergeCell ref="A194:E194"/>
    <mergeCell ref="C77:E77"/>
    <mergeCell ref="C157:E157"/>
    <mergeCell ref="C151:E151"/>
    <mergeCell ref="C284:E284"/>
    <mergeCell ref="C74:E74"/>
    <mergeCell ref="A293:E293"/>
    <mergeCell ref="C309:E309"/>
    <mergeCell ref="D148:E148"/>
    <mergeCell ref="C20:E20"/>
    <mergeCell ref="C112:E112"/>
    <mergeCell ref="A83:E83"/>
    <mergeCell ref="C75:E75"/>
    <mergeCell ref="C311:E311"/>
    <mergeCell ref="C130:E130"/>
    <mergeCell ref="C12:E12"/>
    <mergeCell ref="C295:E295"/>
    <mergeCell ref="C46:E46"/>
    <mergeCell ref="C52:E52"/>
    <mergeCell ref="C70:E70"/>
    <mergeCell ref="C159:E159"/>
    <mergeCell ref="C48:E48"/>
    <mergeCell ref="C81:E81"/>
    <mergeCell ref="C38:E38"/>
    <mergeCell ref="C296:E296"/>
    <mergeCell ref="C131:E131"/>
    <mergeCell ref="C298:E298"/>
    <mergeCell ref="A5:E5"/>
    <mergeCell ref="A14:E14"/>
    <mergeCell ref="C116:E116"/>
    <mergeCell ref="C156:E156"/>
    <mergeCell ref="C79:E79"/>
    <mergeCell ref="C73:E73"/>
    <mergeCell ref="D129:E129"/>
    <mergeCell ref="D252:E252"/>
    <mergeCell ref="C302:E302"/>
    <mergeCell ref="A40:E40"/>
    <mergeCell ref="C10:E10"/>
    <mergeCell ref="C16:E16"/>
    <mergeCell ref="C305:E305"/>
    <mergeCell ref="C50:E50"/>
    <mergeCell ref="C173:E173"/>
    <mergeCell ref="C286:E286"/>
    <mergeCell ref="C301:E301"/>
    <mergeCell ref="C9:E9"/>
    <mergeCell ref="A228:E228"/>
    <mergeCell ref="C115:E115"/>
    <mergeCell ref="C300:E300"/>
    <mergeCell ref="C11:E11"/>
    <mergeCell ref="C278:E278"/>
    <mergeCell ref="C287:E287"/>
    <mergeCell ref="C150:E150"/>
    <mergeCell ref="A84:E84"/>
    <mergeCell ref="C158:E158"/>
    <mergeCell ref="C67:E67"/>
    <mergeCell ref="C289:E289"/>
    <mergeCell ref="C190:E190"/>
    <mergeCell ref="D171:E171"/>
    <mergeCell ref="A2:E2"/>
    <mergeCell ref="C69:E69"/>
    <mergeCell ref="C254:E254"/>
    <mergeCell ref="C78:E78"/>
    <mergeCell ref="C6:E6"/>
    <mergeCell ref="C191:E191"/>
    <mergeCell ref="C225:E225"/>
    <mergeCell ref="A72:E72"/>
    <mergeCell ref="A134:E134"/>
    <mergeCell ref="C172:E172"/>
    <mergeCell ref="C306:E306"/>
    <mergeCell ref="A176:E176"/>
    <mergeCell ref="A114:E114"/>
    <mergeCell ref="C226:E226"/>
    <mergeCell ref="A15:E15"/>
    <mergeCell ref="C277:E277"/>
    <mergeCell ref="A257:E257"/>
    <mergeCell ref="A304:E304"/>
    <mergeCell ref="C291:E291"/>
    <mergeCell ref="C43:E43"/>
    <mergeCell ref="C188:E188"/>
    <mergeCell ref="C76:E76"/>
    <mergeCell ref="C132:E132"/>
    <mergeCell ref="C110:E110"/>
    <mergeCell ref="A177:E177"/>
    <mergeCell ref="A41:E41"/>
    <mergeCell ref="C8:E8"/>
    <mergeCell ref="A283:E283"/>
    <mergeCell ref="C17:E17"/>
    <mergeCell ref="C253:E253"/>
    <mergeCell ref="C174:E174"/>
    <mergeCell ref="C149:E149"/>
    <mergeCell ref="A154:E154"/>
    <mergeCell ref="C280:E280"/>
    <mergeCell ref="C66:E66"/>
    <mergeCell ref="C308:E308"/>
    <mergeCell ref="C19:E19"/>
    <mergeCell ref="C189:E189"/>
    <mergeCell ref="A195:E195"/>
    <mergeCell ref="C111:E111"/>
    <mergeCell ref="C68:E68"/>
    <mergeCell ref="C310:E310"/>
    <mergeCell ref="C279:E279"/>
    <mergeCell ref="C288:E288"/>
    <mergeCell ref="C294:E294"/>
    <mergeCell ref="C45:E45"/>
    <mergeCell ref="C290:E290"/>
    <mergeCell ref="C152:E152"/>
    <mergeCell ref="C109:E109"/>
    <mergeCell ref="C47:E47"/>
  </mergeCells>
  <dataValidations count="20">
    <dataValidation sqref="C9" showDropDown="0" showInputMessage="0" showErrorMessage="0" allowBlank="1" type="list">
      <formula1>"Primarily Commercial,Primarily Residential,Mix of Commercial and Residential,New to Real Estate,Building My Commercial Business,Other"</formula1>
    </dataValidation>
    <dataValidation sqref="C11" showDropDown="0" showInputMessage="0" showErrorMessage="0" allowBlank="1" type="list">
      <formula1>"Yes,No,Transitioning toward it"</formula1>
    </dataValidation>
    <dataValidation sqref="C20" showDropDown="0" showInputMessage="0" showErrorMessage="0" allowBlank="1" type="list">
      <formula1>"Yes,Somewhat,No"</formula1>
    </dataValidation>
    <dataValidation sqref="C23:C29" showDropDown="0" showInputMessage="0" showErrorMessage="0" allowBlank="1" type="list">
      <formula1>"Yes,No"</formula1>
    </dataValidation>
    <dataValidation sqref="C73" showDropDown="0" showInputMessage="0" showErrorMessage="0" allowBlank="1" type="list">
      <formula1>"Almost always,Sometimes,Rarely,Never"</formula1>
    </dataValidation>
    <dataValidation sqref="C74" showDropDown="0" showInputMessage="0" showErrorMessage="0" allowBlank="1" type="list">
      <formula1>"Yes,Somewhat,No"</formula1>
    </dataValidation>
    <dataValidation sqref="C75" showDropDown="0" showInputMessage="0" showErrorMessage="0" allowBlank="1" type="list">
      <formula1>"Yes,Sometimes,No"</formula1>
    </dataValidation>
    <dataValidation sqref="C86:C108" showDropDown="0" showInputMessage="0" showErrorMessage="0" allowBlank="1" type="list">
      <formula1>"0,1,2,3,4,5"</formula1>
    </dataValidation>
    <dataValidation sqref="D86:D108" showDropDown="0" showInputMessage="0" showErrorMessage="0" allowBlank="1" type="list">
      <formula1>"Yes,No"</formula1>
    </dataValidation>
    <dataValidation sqref="C116" showDropDown="0" showInputMessage="0" showErrorMessage="0" allowBlank="1" type="list">
      <formula1>"Very few,Some,Most,Nearly all,Unsure"</formula1>
    </dataValidation>
    <dataValidation sqref="C118:C129" showDropDown="0" showInputMessage="0" showErrorMessage="0" allowBlank="1" type="list">
      <formula1>"Yes,No"</formula1>
    </dataValidation>
    <dataValidation sqref="C136:C148" showDropDown="0" showInputMessage="0" showErrorMessage="0" allowBlank="1" type="list">
      <formula1>"Yes,No"</formula1>
    </dataValidation>
    <dataValidation sqref="C150" showDropDown="0" showInputMessage="0" showErrorMessage="0" allowBlank="1" type="list">
      <formula1>"Weekly,Monthly,Quarterly,Occasionally,Almost never"</formula1>
    </dataValidation>
    <dataValidation sqref="C155" showDropDown="0" showInputMessage="0" showErrorMessage="0" allowBlank="1" type="list">
      <formula1>"Yes,Somewhat,No,Still determining it"</formula1>
    </dataValidation>
    <dataValidation sqref="C156" showDropDown="0" showInputMessage="0" showErrorMessage="0" allowBlank="1" type="list">
      <formula1>"Yes,No"</formula1>
    </dataValidation>
    <dataValidation sqref="C161:C171" showDropDown="0" showInputMessage="0" showErrorMessage="0" allowBlank="1" type="list">
      <formula1>"Yes,No"</formula1>
    </dataValidation>
    <dataValidation sqref="C192" showDropDown="0" showInputMessage="0" showErrorMessage="0" allowBlank="1" type="list">
      <formula1>"Yes,Approximately,No"</formula1>
    </dataValidation>
    <dataValidation sqref="C197:C224" showDropDown="0" showInputMessage="0" showErrorMessage="0" allowBlank="1" type="list">
      <formula1>"1,2,3,4,5"</formula1>
    </dataValidation>
    <dataValidation sqref="C230:C252" showDropDown="0" showInputMessage="0" showErrorMessage="0" allowBlank="1" type="list">
      <formula1>"Yes,No"</formula1>
    </dataValidation>
    <dataValidation sqref="C259:C2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A5F"/>
    <outlinePr summaryBelow="1" summaryRight="1"/>
    <pageSetUpPr/>
  </sheetPr>
  <dimension ref="A1:Z8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1" customWidth="1" min="11" max="11"/>
    <col width="13" customWidth="1" min="12" max="12"/>
    <col width="10" customWidth="1" min="13" max="13"/>
    <col width="9" customWidth="1" min="14" max="14"/>
    <col width="12" customWidth="1" min="15" max="15"/>
    <col width="9" customWidth="1" min="16" max="16"/>
    <col width="10" customWidth="1" min="17" max="17"/>
    <col width="9" customWidth="1" min="18" max="18"/>
    <col width="13" customWidth="1" min="19" max="19"/>
    <col width="12" customWidth="1" min="20" max="20"/>
    <col width="14" customWidth="1" min="21" max="21"/>
    <col width="30" customWidth="1" min="22" max="22"/>
    <col width="30" customWidth="1" min="23" max="23"/>
    <col width="30" customWidth="1" min="24" max="24"/>
    <col width="17" customWidth="1" min="25" max="25"/>
    <col width="12" customWidth="1" min="26" max="26"/>
  </cols>
  <sheetData>
    <row r="1" ht="34" customHeight="1">
      <c r="A1" s="1">
        <f>IF('Settings'!B20="","Agent 7",'Settings'!B20)&amp;" — Weekly Score Card"</f>
        <v/>
      </c>
    </row>
    <row r="2" ht="30" customHeight="1">
      <c r="A2" s="5" t="inlineStr">
        <is>
          <t>Fill in your row for the current week by Friday end of day (yellow cells). Estimates are fine. “Follow-Ups Outstanding” and “Pipeline Potential GCI” are snapshots as of the end of the week; everything else is what happened that week. Q4 progress below updates automatically.</t>
        </is>
      </c>
    </row>
    <row r="4">
      <c r="A4" s="30" t="inlineStr">
        <is>
          <t>Q4 2026 PROGRESS  (goals come from Section 13 of your Assessment)</t>
        </is>
      </c>
      <c r="H4" s="2" t="inlineStr">
        <is>
          <t>ACCOUNTABILITY</t>
        </is>
      </c>
    </row>
    <row r="5">
      <c r="A5" s="8" t="inlineStr">
        <is>
          <t>Metric</t>
        </is>
      </c>
      <c r="B5" s="31" t="n"/>
      <c r="C5" s="8" t="inlineStr">
        <is>
          <t>Q4 Goal</t>
        </is>
      </c>
      <c r="D5" s="8" t="inlineStr">
        <is>
          <t>Q4 Actual</t>
        </is>
      </c>
      <c r="E5" s="8" t="inlineStr">
        <is>
          <t>% to Goal</t>
        </is>
      </c>
      <c r="F5" s="8" t="inlineStr">
        <is>
          <t>On Pace?</t>
        </is>
      </c>
      <c r="H5" s="3" t="inlineStr">
        <is>
          <t>Weeks updated</t>
        </is>
      </c>
      <c r="K5" s="32">
        <f>COUNTIFS($A$15:$A$80,"&lt;="&amp;TODAY(),$Y$15:$Y$80,"&lt;&gt;")</f>
        <v/>
      </c>
    </row>
    <row r="6">
      <c r="A6" s="33" t="inlineStr">
        <is>
          <t>Commercial GCI</t>
        </is>
      </c>
      <c r="B6" s="34" t="n"/>
      <c r="C6" s="12">
        <f>IF('Agent 7 Assessment'!C285="","",'Agent 7 Assessment'!C285)</f>
        <v/>
      </c>
      <c r="D6" s="12">
        <f>SUMIFS($T$15:$T$80,$A$15:$A$80,"&gt;="&amp;DATE(2026,9,28),$A$15:$A$80,"&lt;="&amp;DATE(2026,12,31))</f>
        <v/>
      </c>
      <c r="E6" s="10">
        <f>IFERROR(D6/C6,"")</f>
        <v/>
      </c>
      <c r="F6" s="11">
        <f>IF(C6="","Set goal",IF(D6&gt;=C6*MAX(0,MIN(1,(TODAY()-DATE(2026,10,1))/(DATE(2026,12,31)-DATE(2026,10,1)))),"On pace","Behind"))</f>
        <v/>
      </c>
      <c r="H6" s="3" t="inlineStr">
        <is>
          <t>Weeks elapsed</t>
        </is>
      </c>
      <c r="K6" s="32">
        <f>COUNTIFS($A$15:$A$80,"&lt;="&amp;TODAY())</f>
        <v/>
      </c>
    </row>
    <row r="7">
      <c r="A7" s="33" t="inlineStr">
        <is>
          <t>Transaction Volume</t>
        </is>
      </c>
      <c r="B7" s="34" t="n"/>
      <c r="C7" s="12">
        <f>IF('Agent 7 Assessment'!C284="","",'Agent 7 Assessment'!C284)</f>
        <v/>
      </c>
      <c r="D7" s="12">
        <f>SUMIFS($S$15:$S$80,$A$15:$A$80,"&gt;="&amp;DATE(2026,9,28),$A$15:$A$80,"&lt;="&amp;DATE(2026,12,31))</f>
        <v/>
      </c>
      <c r="E7" s="10">
        <f>IFERROR(D7/C7,"")</f>
        <v/>
      </c>
      <c r="F7" s="11">
        <f>IF(C7="","Set goal",IF(D7&gt;=C7*MAX(0,MIN(1,(TODAY()-DATE(2026,10,1))/(DATE(2026,12,31)-DATE(2026,10,1)))),"On pace","Behind"))</f>
        <v/>
      </c>
      <c r="H7" s="3" t="inlineStr">
        <is>
          <t>Consistency</t>
        </is>
      </c>
      <c r="K7" s="17">
        <f>IFERROR(K5/K6,0)</f>
        <v/>
      </c>
    </row>
    <row r="8">
      <c r="A8" s="33" t="inlineStr">
        <is>
          <t>Closings</t>
        </is>
      </c>
      <c r="B8" s="34" t="n"/>
      <c r="C8" s="11">
        <f>IF('Agent 7 Assessment'!C286="","",'Agent 7 Assessment'!C286)</f>
        <v/>
      </c>
      <c r="D8" s="11">
        <f>SUMIFS($R$15:$R$80,$A$15:$A$80,"&gt;="&amp;DATE(2026,9,28),$A$15:$A$80,"&lt;="&amp;DATE(2026,12,31))</f>
        <v/>
      </c>
      <c r="E8" s="10">
        <f>IFERROR(D8/C8,"")</f>
        <v/>
      </c>
      <c r="F8" s="11">
        <f>IF(C8="","Set goal",IF(D8&gt;=C8*MAX(0,MIN(1,(TODAY()-DATE(2026,10,1))/(DATE(2026,12,31)-DATE(2026,10,1)))),"On pace","Behind"))</f>
        <v/>
      </c>
      <c r="H8" s="3" t="inlineStr">
        <is>
          <t>Avg calls / week</t>
        </is>
      </c>
      <c r="K8" s="20">
        <f>IFERROR(AVERAGEIFS($F$15:$F$80,$A$15:$A$80,"&lt;="&amp;TODAY(),$F$15:$F$80,"&lt;&gt;"),0)</f>
        <v/>
      </c>
    </row>
    <row r="9">
      <c r="A9" s="33" t="inlineStr">
        <is>
          <t>New Listings</t>
        </is>
      </c>
      <c r="B9" s="34" t="n"/>
      <c r="C9" s="11">
        <f>IF('Agent 7 Assessment'!C287="","",'Agent 7 Assessment'!C287)</f>
        <v/>
      </c>
      <c r="D9" s="11">
        <f>SUMIFS($N$15:$N$80,$A$15:$A$80,"&gt;="&amp;DATE(2026,9,28),$A$15:$A$80,"&lt;="&amp;DATE(2026,12,31))</f>
        <v/>
      </c>
      <c r="E9" s="10">
        <f>IFERROR(D9/C9,"")</f>
        <v/>
      </c>
      <c r="F9" s="11">
        <f>IF(C9="","Set goal",IF(D9&gt;=C9*MAX(0,MIN(1,(TODAY()-DATE(2026,10,1))/(DATE(2026,12,31)-DATE(2026,10,1)))),"On pace","Behind"))</f>
        <v/>
      </c>
      <c r="H9" s="3" t="inlineStr">
        <is>
          <t>Avg meetings / week</t>
        </is>
      </c>
      <c r="K9" s="20">
        <f>IFERROR(AVERAGEIFS($H$15:$H$80,$A$15:$A$80,"&lt;="&amp;TODAY(),$H$15:$H$80,"&lt;&gt;"),0)</f>
        <v/>
      </c>
    </row>
    <row r="10">
      <c r="A10" s="33" t="inlineStr">
        <is>
          <t>New Buyer / Tenant Assignments</t>
        </is>
      </c>
      <c r="B10" s="34" t="n"/>
      <c r="C10" s="11">
        <f>IF('Agent 7 Assessment'!C288="","",'Agent 7 Assessment'!C288)</f>
        <v/>
      </c>
      <c r="D10" s="11">
        <f>SUMIFS($O$15:$O$80,$A$15:$A$80,"&gt;="&amp;DATE(2026,9,28),$A$15:$A$80,"&lt;="&amp;DATE(2026,12,31))</f>
        <v/>
      </c>
      <c r="E10" s="10">
        <f>IFERROR(D10/C10,"")</f>
        <v/>
      </c>
      <c r="F10" s="11">
        <f>IF(C10="","Set goal",IF(D10&gt;=C10*MAX(0,MIN(1,(TODAY()-DATE(2026,10,1))/(DATE(2026,12,31)-DATE(2026,10,1)))),"On pace","Behind"))</f>
        <v/>
      </c>
      <c r="H10" s="3" t="inlineStr">
        <is>
          <t>Latest pipeline GCI</t>
        </is>
      </c>
      <c r="K10" s="19">
        <f>IFERROR(INDEX($U$15:$U$80,MATCH(1E+100,$U$15:$U$80)),"")</f>
        <v/>
      </c>
    </row>
    <row r="11">
      <c r="A11" s="33" t="inlineStr">
        <is>
          <t>Qualified Opportunities Created</t>
        </is>
      </c>
      <c r="B11" s="34" t="n"/>
      <c r="C11" s="11">
        <f>IF('Agent 7 Assessment'!C289="","",'Agent 7 Assessment'!C289)</f>
        <v/>
      </c>
      <c r="D11" s="11">
        <f>SUMIFS($I$15:$I$80,$A$15:$A$80,"&gt;="&amp;DATE(2026,9,28),$A$15:$A$80,"&lt;="&amp;DATE(2026,12,31))</f>
        <v/>
      </c>
      <c r="E11" s="10">
        <f>IFERROR(D11/C11,"")</f>
        <v/>
      </c>
      <c r="F11" s="11">
        <f>IF(C11="","Set goal",IF(D11&gt;=C11*MAX(0,MIN(1,(TODAY()-DATE(2026,10,1))/(DATE(2026,12,31)-DATE(2026,10,1)))),"On pace","Behind"))</f>
        <v/>
      </c>
      <c r="H11" s="3" t="inlineStr">
        <is>
          <t>Assessment complete</t>
        </is>
      </c>
      <c r="K11" s="17">
        <f>'Agent 7 Assessment'!C3</f>
        <v/>
      </c>
    </row>
    <row r="12">
      <c r="A12" s="33" t="inlineStr">
        <is>
          <t>Meetings (goal = per month × 3)</t>
        </is>
      </c>
      <c r="B12" s="34" t="n"/>
      <c r="C12" s="11">
        <f>IF('Agent 7 Assessment'!C290="","",'Agent 7 Assessment'!C290*3)</f>
        <v/>
      </c>
      <c r="D12" s="11">
        <f>SUMIFS($H$15:$H$80,$A$15:$A$80,"&gt;="&amp;DATE(2026,9,28),$A$15:$A$80,"&lt;="&amp;DATE(2026,12,31))</f>
        <v/>
      </c>
      <c r="E12" s="10">
        <f>IFERROR(D12/C12,"")</f>
        <v/>
      </c>
      <c r="F12" s="11">
        <f>IF(C12="","Set goal",IF(D12&gt;=C12*MAX(0,MIN(1,(TODAY()-DATE(2026,10,1))/(DATE(2026,12,31)-DATE(2026,10,1)))),"On pace","Behind"))</f>
        <v/>
      </c>
    </row>
    <row r="14" ht="48" customHeight="1">
      <c r="A14" s="8" t="inlineStr">
        <is>
          <t>Week Of (Mon)</t>
        </is>
      </c>
      <c r="B14" s="8" t="inlineStr">
        <is>
          <t>Days Worked</t>
        </is>
      </c>
      <c r="C14" s="8" t="inlineStr">
        <is>
          <t>Total RE Hours</t>
        </is>
      </c>
      <c r="D14" s="8" t="inlineStr">
        <is>
          <t>Commercial Hours</t>
        </is>
      </c>
      <c r="E14" s="8" t="inlineStr">
        <is>
          <t>Prospecting Hours</t>
        </is>
      </c>
      <c r="F14" s="8" t="inlineStr">
        <is>
          <t>Calls / Outreach Attempts</t>
        </is>
      </c>
      <c r="G14" s="8" t="inlineStr">
        <is>
          <t>Decision-Maker Conversations</t>
        </is>
      </c>
      <c r="H14" s="8" t="inlineStr">
        <is>
          <t>Prospect / Client Meetings</t>
        </is>
      </c>
      <c r="I14" s="8" t="inlineStr">
        <is>
          <t>New Opportunities Created</t>
        </is>
      </c>
      <c r="J14" s="8" t="inlineStr">
        <is>
          <t>New Database Contacts</t>
        </is>
      </c>
      <c r="K14" s="8" t="inlineStr">
        <is>
          <t>Follow-Ups Outstanding</t>
        </is>
      </c>
      <c r="L14" s="8" t="inlineStr">
        <is>
          <t>Market Center Agent Conversations</t>
        </is>
      </c>
      <c r="M14" s="8" t="inlineStr">
        <is>
          <t>Sphere Touches</t>
        </is>
      </c>
      <c r="N14" s="8" t="inlineStr">
        <is>
          <t>New Listings</t>
        </is>
      </c>
      <c r="O14" s="8" t="inlineStr">
        <is>
          <t>New Buyer / Tenant Assignments</t>
        </is>
      </c>
      <c r="P14" s="8" t="inlineStr">
        <is>
          <t>LOIs Submitted</t>
        </is>
      </c>
      <c r="Q14" s="8" t="inlineStr">
        <is>
          <t>Went Under Contract</t>
        </is>
      </c>
      <c r="R14" s="8" t="inlineStr">
        <is>
          <t>Closings</t>
        </is>
      </c>
      <c r="S14" s="8" t="inlineStr">
        <is>
          <t>Volume Closed ($)</t>
        </is>
      </c>
      <c r="T14" s="8" t="inlineStr">
        <is>
          <t>GCI Closed ($)</t>
        </is>
      </c>
      <c r="U14" s="8" t="inlineStr">
        <is>
          <t>Pipeline Potential GCI ($)</t>
        </is>
      </c>
      <c r="V14" s="8" t="inlineStr">
        <is>
          <t>Win of the Week</t>
        </is>
      </c>
      <c r="W14" s="8" t="inlineStr">
        <is>
          <t>Biggest Obstacle</t>
        </is>
      </c>
      <c r="X14" s="8" t="inlineStr">
        <is>
          <t>#1 Focus Next Week</t>
        </is>
      </c>
      <c r="Y14" s="8" t="inlineStr">
        <is>
          <t>Last Updated (auto)</t>
        </is>
      </c>
      <c r="Z14" s="8" t="inlineStr">
        <is>
          <t>Status</t>
        </is>
      </c>
    </row>
    <row r="15">
      <c r="A15" s="35" t="n">
        <v>46293</v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7" t="n"/>
      <c r="T15" s="37" t="n"/>
      <c r="U15" s="37" t="n"/>
      <c r="V15" s="38" t="n"/>
      <c r="W15" s="38" t="n"/>
      <c r="X15" s="38" t="n"/>
      <c r="Y15" s="39" t="n"/>
      <c r="Z15" s="11">
        <f>IF(A15&gt;TODAY(),"Upcoming",IF(Y15&lt;&gt;"","✓ Updated",IF(A15+6&gt;=TODAY(),"Due Friday","⚠ Missing")))</f>
        <v/>
      </c>
    </row>
    <row r="16">
      <c r="A16" s="35" t="n">
        <v>46300</v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7" t="n"/>
      <c r="T16" s="37" t="n"/>
      <c r="U16" s="37" t="n"/>
      <c r="V16" s="38" t="n"/>
      <c r="W16" s="38" t="n"/>
      <c r="X16" s="38" t="n"/>
      <c r="Y16" s="39" t="n"/>
      <c r="Z16" s="11">
        <f>IF(A16&gt;TODAY(),"Upcoming",IF(Y16&lt;&gt;"","✓ Updated",IF(A16+6&gt;=TODAY(),"Due Friday","⚠ Missing")))</f>
        <v/>
      </c>
    </row>
    <row r="17">
      <c r="A17" s="35" t="n">
        <v>46307</v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7" t="n"/>
      <c r="T17" s="37" t="n"/>
      <c r="U17" s="37" t="n"/>
      <c r="V17" s="38" t="n"/>
      <c r="W17" s="38" t="n"/>
      <c r="X17" s="38" t="n"/>
      <c r="Y17" s="39" t="n"/>
      <c r="Z17" s="11">
        <f>IF(A17&gt;TODAY(),"Upcoming",IF(Y17&lt;&gt;"","✓ Updated",IF(A17+6&gt;=TODAY(),"Due Friday","⚠ Missing")))</f>
        <v/>
      </c>
    </row>
    <row r="18">
      <c r="A18" s="35" t="n">
        <v>46314</v>
      </c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7" t="n"/>
      <c r="T18" s="37" t="n"/>
      <c r="U18" s="37" t="n"/>
      <c r="V18" s="38" t="n"/>
      <c r="W18" s="38" t="n"/>
      <c r="X18" s="38" t="n"/>
      <c r="Y18" s="39" t="n"/>
      <c r="Z18" s="11">
        <f>IF(A18&gt;TODAY(),"Upcoming",IF(Y18&lt;&gt;"","✓ Updated",IF(A18+6&gt;=TODAY(),"Due Friday","⚠ Missing")))</f>
        <v/>
      </c>
    </row>
    <row r="19">
      <c r="A19" s="35" t="n">
        <v>46321</v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7" t="n"/>
      <c r="T19" s="37" t="n"/>
      <c r="U19" s="37" t="n"/>
      <c r="V19" s="38" t="n"/>
      <c r="W19" s="38" t="n"/>
      <c r="X19" s="38" t="n"/>
      <c r="Y19" s="39" t="n"/>
      <c r="Z19" s="11">
        <f>IF(A19&gt;TODAY(),"Upcoming",IF(Y19&lt;&gt;"","✓ Updated",IF(A19+6&gt;=TODAY(),"Due Friday","⚠ Missing")))</f>
        <v/>
      </c>
    </row>
    <row r="20">
      <c r="A20" s="35" t="n">
        <v>46328</v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7" t="n"/>
      <c r="T20" s="37" t="n"/>
      <c r="U20" s="37" t="n"/>
      <c r="V20" s="38" t="n"/>
      <c r="W20" s="38" t="n"/>
      <c r="X20" s="38" t="n"/>
      <c r="Y20" s="39" t="n"/>
      <c r="Z20" s="11">
        <f>IF(A20&gt;TODAY(),"Upcoming",IF(Y20&lt;&gt;"","✓ Updated",IF(A20+6&gt;=TODAY(),"Due Friday","⚠ Missing")))</f>
        <v/>
      </c>
    </row>
    <row r="21">
      <c r="A21" s="35" t="n">
        <v>46335</v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7" t="n"/>
      <c r="T21" s="37" t="n"/>
      <c r="U21" s="37" t="n"/>
      <c r="V21" s="38" t="n"/>
      <c r="W21" s="38" t="n"/>
      <c r="X21" s="38" t="n"/>
      <c r="Y21" s="39" t="n"/>
      <c r="Z21" s="11">
        <f>IF(A21&gt;TODAY(),"Upcoming",IF(Y21&lt;&gt;"","✓ Updated",IF(A21+6&gt;=TODAY(),"Due Friday","⚠ Missing")))</f>
        <v/>
      </c>
    </row>
    <row r="22">
      <c r="A22" s="35" t="n">
        <v>46342</v>
      </c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7" t="n"/>
      <c r="T22" s="37" t="n"/>
      <c r="U22" s="37" t="n"/>
      <c r="V22" s="38" t="n"/>
      <c r="W22" s="38" t="n"/>
      <c r="X22" s="38" t="n"/>
      <c r="Y22" s="39" t="n"/>
      <c r="Z22" s="11">
        <f>IF(A22&gt;TODAY(),"Upcoming",IF(Y22&lt;&gt;"","✓ Updated",IF(A22+6&gt;=TODAY(),"Due Friday","⚠ Missing")))</f>
        <v/>
      </c>
    </row>
    <row r="23">
      <c r="A23" s="35" t="n">
        <v>46349</v>
      </c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7" t="n"/>
      <c r="T23" s="37" t="n"/>
      <c r="U23" s="37" t="n"/>
      <c r="V23" s="38" t="n"/>
      <c r="W23" s="38" t="n"/>
      <c r="X23" s="38" t="n"/>
      <c r="Y23" s="39" t="n"/>
      <c r="Z23" s="11">
        <f>IF(A23&gt;TODAY(),"Upcoming",IF(Y23&lt;&gt;"","✓ Updated",IF(A23+6&gt;=TODAY(),"Due Friday","⚠ Missing")))</f>
        <v/>
      </c>
    </row>
    <row r="24">
      <c r="A24" s="35" t="n">
        <v>46356</v>
      </c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7" t="n"/>
      <c r="T24" s="37" t="n"/>
      <c r="U24" s="37" t="n"/>
      <c r="V24" s="38" t="n"/>
      <c r="W24" s="38" t="n"/>
      <c r="X24" s="38" t="n"/>
      <c r="Y24" s="39" t="n"/>
      <c r="Z24" s="11">
        <f>IF(A24&gt;TODAY(),"Upcoming",IF(Y24&lt;&gt;"","✓ Updated",IF(A24+6&gt;=TODAY(),"Due Friday","⚠ Missing")))</f>
        <v/>
      </c>
    </row>
    <row r="25">
      <c r="A25" s="35" t="n">
        <v>46363</v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7" t="n"/>
      <c r="T25" s="37" t="n"/>
      <c r="U25" s="37" t="n"/>
      <c r="V25" s="38" t="n"/>
      <c r="W25" s="38" t="n"/>
      <c r="X25" s="38" t="n"/>
      <c r="Y25" s="39" t="n"/>
      <c r="Z25" s="11">
        <f>IF(A25&gt;TODAY(),"Upcoming",IF(Y25&lt;&gt;"","✓ Updated",IF(A25+6&gt;=TODAY(),"Due Friday","⚠ Missing")))</f>
        <v/>
      </c>
    </row>
    <row r="26">
      <c r="A26" s="35" t="n">
        <v>46370</v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7" t="n"/>
      <c r="T26" s="37" t="n"/>
      <c r="U26" s="37" t="n"/>
      <c r="V26" s="38" t="n"/>
      <c r="W26" s="38" t="n"/>
      <c r="X26" s="38" t="n"/>
      <c r="Y26" s="39" t="n"/>
      <c r="Z26" s="11">
        <f>IF(A26&gt;TODAY(),"Upcoming",IF(Y26&lt;&gt;"","✓ Updated",IF(A26+6&gt;=TODAY(),"Due Friday","⚠ Missing")))</f>
        <v/>
      </c>
    </row>
    <row r="27">
      <c r="A27" s="35" t="n">
        <v>46377</v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7" t="n"/>
      <c r="T27" s="37" t="n"/>
      <c r="U27" s="37" t="n"/>
      <c r="V27" s="38" t="n"/>
      <c r="W27" s="38" t="n"/>
      <c r="X27" s="38" t="n"/>
      <c r="Y27" s="39" t="n"/>
      <c r="Z27" s="11">
        <f>IF(A27&gt;TODAY(),"Upcoming",IF(Y27&lt;&gt;"","✓ Updated",IF(A27+6&gt;=TODAY(),"Due Friday","⚠ Missing")))</f>
        <v/>
      </c>
    </row>
    <row r="28">
      <c r="A28" s="35" t="n">
        <v>46384</v>
      </c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7" t="n"/>
      <c r="T28" s="37" t="n"/>
      <c r="U28" s="37" t="n"/>
      <c r="V28" s="38" t="n"/>
      <c r="W28" s="38" t="n"/>
      <c r="X28" s="38" t="n"/>
      <c r="Y28" s="39" t="n"/>
      <c r="Z28" s="11">
        <f>IF(A28&gt;TODAY(),"Upcoming",IF(Y28&lt;&gt;"","✓ Updated",IF(A28+6&gt;=TODAY(),"Due Friday","⚠ Missing")))</f>
        <v/>
      </c>
    </row>
    <row r="29">
      <c r="A29" s="35" t="n">
        <v>46391</v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7" t="n"/>
      <c r="T29" s="37" t="n"/>
      <c r="U29" s="37" t="n"/>
      <c r="V29" s="38" t="n"/>
      <c r="W29" s="38" t="n"/>
      <c r="X29" s="38" t="n"/>
      <c r="Y29" s="39" t="n"/>
      <c r="Z29" s="11">
        <f>IF(A29&gt;TODAY(),"Upcoming",IF(Y29&lt;&gt;"","✓ Updated",IF(A29+6&gt;=TODAY(),"Due Friday","⚠ Missing")))</f>
        <v/>
      </c>
    </row>
    <row r="30">
      <c r="A30" s="35" t="n">
        <v>46398</v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7" t="n"/>
      <c r="T30" s="37" t="n"/>
      <c r="U30" s="37" t="n"/>
      <c r="V30" s="38" t="n"/>
      <c r="W30" s="38" t="n"/>
      <c r="X30" s="38" t="n"/>
      <c r="Y30" s="39" t="n"/>
      <c r="Z30" s="11">
        <f>IF(A30&gt;TODAY(),"Upcoming",IF(Y30&lt;&gt;"","✓ Updated",IF(A30+6&gt;=TODAY(),"Due Friday","⚠ Missing")))</f>
        <v/>
      </c>
    </row>
    <row r="31">
      <c r="A31" s="35" t="n">
        <v>46405</v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7" t="n"/>
      <c r="T31" s="37" t="n"/>
      <c r="U31" s="37" t="n"/>
      <c r="V31" s="38" t="n"/>
      <c r="W31" s="38" t="n"/>
      <c r="X31" s="38" t="n"/>
      <c r="Y31" s="39" t="n"/>
      <c r="Z31" s="11">
        <f>IF(A31&gt;TODAY(),"Upcoming",IF(Y31&lt;&gt;"","✓ Updated",IF(A31+6&gt;=TODAY(),"Due Friday","⚠ Missing")))</f>
        <v/>
      </c>
    </row>
    <row r="32">
      <c r="A32" s="35" t="n">
        <v>46412</v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7" t="n"/>
      <c r="T32" s="37" t="n"/>
      <c r="U32" s="37" t="n"/>
      <c r="V32" s="38" t="n"/>
      <c r="W32" s="38" t="n"/>
      <c r="X32" s="38" t="n"/>
      <c r="Y32" s="39" t="n"/>
      <c r="Z32" s="11">
        <f>IF(A32&gt;TODAY(),"Upcoming",IF(Y32&lt;&gt;"","✓ Updated",IF(A32+6&gt;=TODAY(),"Due Friday","⚠ Missing")))</f>
        <v/>
      </c>
    </row>
    <row r="33">
      <c r="A33" s="35" t="n">
        <v>46419</v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7" t="n"/>
      <c r="T33" s="37" t="n"/>
      <c r="U33" s="37" t="n"/>
      <c r="V33" s="38" t="n"/>
      <c r="W33" s="38" t="n"/>
      <c r="X33" s="38" t="n"/>
      <c r="Y33" s="39" t="n"/>
      <c r="Z33" s="11">
        <f>IF(A33&gt;TODAY(),"Upcoming",IF(Y33&lt;&gt;"","✓ Updated",IF(A33+6&gt;=TODAY(),"Due Friday","⚠ Missing")))</f>
        <v/>
      </c>
    </row>
    <row r="34">
      <c r="A34" s="35" t="n">
        <v>46426</v>
      </c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7" t="n"/>
      <c r="T34" s="37" t="n"/>
      <c r="U34" s="37" t="n"/>
      <c r="V34" s="38" t="n"/>
      <c r="W34" s="38" t="n"/>
      <c r="X34" s="38" t="n"/>
      <c r="Y34" s="39" t="n"/>
      <c r="Z34" s="11">
        <f>IF(A34&gt;TODAY(),"Upcoming",IF(Y34&lt;&gt;"","✓ Updated",IF(A34+6&gt;=TODAY(),"Due Friday","⚠ Missing")))</f>
        <v/>
      </c>
    </row>
    <row r="35">
      <c r="A35" s="35" t="n">
        <v>46433</v>
      </c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7" t="n"/>
      <c r="T35" s="37" t="n"/>
      <c r="U35" s="37" t="n"/>
      <c r="V35" s="38" t="n"/>
      <c r="W35" s="38" t="n"/>
      <c r="X35" s="38" t="n"/>
      <c r="Y35" s="39" t="n"/>
      <c r="Z35" s="11">
        <f>IF(A35&gt;TODAY(),"Upcoming",IF(Y35&lt;&gt;"","✓ Updated",IF(A35+6&gt;=TODAY(),"Due Friday","⚠ Missing")))</f>
        <v/>
      </c>
    </row>
    <row r="36">
      <c r="A36" s="35" t="n">
        <v>46440</v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7" t="n"/>
      <c r="T36" s="37" t="n"/>
      <c r="U36" s="37" t="n"/>
      <c r="V36" s="38" t="n"/>
      <c r="W36" s="38" t="n"/>
      <c r="X36" s="38" t="n"/>
      <c r="Y36" s="39" t="n"/>
      <c r="Z36" s="11">
        <f>IF(A36&gt;TODAY(),"Upcoming",IF(Y36&lt;&gt;"","✓ Updated",IF(A36+6&gt;=TODAY(),"Due Friday","⚠ Missing")))</f>
        <v/>
      </c>
    </row>
    <row r="37">
      <c r="A37" s="35" t="n">
        <v>46447</v>
      </c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7" t="n"/>
      <c r="T37" s="37" t="n"/>
      <c r="U37" s="37" t="n"/>
      <c r="V37" s="38" t="n"/>
      <c r="W37" s="38" t="n"/>
      <c r="X37" s="38" t="n"/>
      <c r="Y37" s="39" t="n"/>
      <c r="Z37" s="11">
        <f>IF(A37&gt;TODAY(),"Upcoming",IF(Y37&lt;&gt;"","✓ Updated",IF(A37+6&gt;=TODAY(),"Due Friday","⚠ Missing")))</f>
        <v/>
      </c>
    </row>
    <row r="38">
      <c r="A38" s="35" t="n">
        <v>46454</v>
      </c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7" t="n"/>
      <c r="T38" s="37" t="n"/>
      <c r="U38" s="37" t="n"/>
      <c r="V38" s="38" t="n"/>
      <c r="W38" s="38" t="n"/>
      <c r="X38" s="38" t="n"/>
      <c r="Y38" s="39" t="n"/>
      <c r="Z38" s="11">
        <f>IF(A38&gt;TODAY(),"Upcoming",IF(Y38&lt;&gt;"","✓ Updated",IF(A38+6&gt;=TODAY(),"Due Friday","⚠ Missing")))</f>
        <v/>
      </c>
    </row>
    <row r="39">
      <c r="A39" s="35" t="n">
        <v>46461</v>
      </c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7" t="n"/>
      <c r="T39" s="37" t="n"/>
      <c r="U39" s="37" t="n"/>
      <c r="V39" s="38" t="n"/>
      <c r="W39" s="38" t="n"/>
      <c r="X39" s="38" t="n"/>
      <c r="Y39" s="39" t="n"/>
      <c r="Z39" s="11">
        <f>IF(A39&gt;TODAY(),"Upcoming",IF(Y39&lt;&gt;"","✓ Updated",IF(A39+6&gt;=TODAY(),"Due Friday","⚠ Missing")))</f>
        <v/>
      </c>
    </row>
    <row r="40">
      <c r="A40" s="35" t="n">
        <v>46468</v>
      </c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7" t="n"/>
      <c r="T40" s="37" t="n"/>
      <c r="U40" s="37" t="n"/>
      <c r="V40" s="38" t="n"/>
      <c r="W40" s="38" t="n"/>
      <c r="X40" s="38" t="n"/>
      <c r="Y40" s="39" t="n"/>
      <c r="Z40" s="11">
        <f>IF(A40&gt;TODAY(),"Upcoming",IF(Y40&lt;&gt;"","✓ Updated",IF(A40+6&gt;=TODAY(),"Due Friday","⚠ Missing")))</f>
        <v/>
      </c>
    </row>
    <row r="41">
      <c r="A41" s="35" t="n">
        <v>46475</v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7" t="n"/>
      <c r="T41" s="37" t="n"/>
      <c r="U41" s="37" t="n"/>
      <c r="V41" s="38" t="n"/>
      <c r="W41" s="38" t="n"/>
      <c r="X41" s="38" t="n"/>
      <c r="Y41" s="39" t="n"/>
      <c r="Z41" s="11">
        <f>IF(A41&gt;TODAY(),"Upcoming",IF(Y41&lt;&gt;"","✓ Updated",IF(A41+6&gt;=TODAY(),"Due Friday","⚠ Missing")))</f>
        <v/>
      </c>
    </row>
    <row r="42">
      <c r="A42" s="35" t="n">
        <v>46482</v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7" t="n"/>
      <c r="T42" s="37" t="n"/>
      <c r="U42" s="37" t="n"/>
      <c r="V42" s="38" t="n"/>
      <c r="W42" s="38" t="n"/>
      <c r="X42" s="38" t="n"/>
      <c r="Y42" s="39" t="n"/>
      <c r="Z42" s="11">
        <f>IF(A42&gt;TODAY(),"Upcoming",IF(Y42&lt;&gt;"","✓ Updated",IF(A42+6&gt;=TODAY(),"Due Friday","⚠ Missing")))</f>
        <v/>
      </c>
    </row>
    <row r="43">
      <c r="A43" s="35" t="n">
        <v>46489</v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7" t="n"/>
      <c r="T43" s="37" t="n"/>
      <c r="U43" s="37" t="n"/>
      <c r="V43" s="38" t="n"/>
      <c r="W43" s="38" t="n"/>
      <c r="X43" s="38" t="n"/>
      <c r="Y43" s="39" t="n"/>
      <c r="Z43" s="11">
        <f>IF(A43&gt;TODAY(),"Upcoming",IF(Y43&lt;&gt;"","✓ Updated",IF(A43+6&gt;=TODAY(),"Due Friday","⚠ Missing")))</f>
        <v/>
      </c>
    </row>
    <row r="44">
      <c r="A44" s="35" t="n">
        <v>46496</v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7" t="n"/>
      <c r="T44" s="37" t="n"/>
      <c r="U44" s="37" t="n"/>
      <c r="V44" s="38" t="n"/>
      <c r="W44" s="38" t="n"/>
      <c r="X44" s="38" t="n"/>
      <c r="Y44" s="39" t="n"/>
      <c r="Z44" s="11">
        <f>IF(A44&gt;TODAY(),"Upcoming",IF(Y44&lt;&gt;"","✓ Updated",IF(A44+6&gt;=TODAY(),"Due Friday","⚠ Missing")))</f>
        <v/>
      </c>
    </row>
    <row r="45">
      <c r="A45" s="35" t="n">
        <v>46503</v>
      </c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7" t="n"/>
      <c r="T45" s="37" t="n"/>
      <c r="U45" s="37" t="n"/>
      <c r="V45" s="38" t="n"/>
      <c r="W45" s="38" t="n"/>
      <c r="X45" s="38" t="n"/>
      <c r="Y45" s="39" t="n"/>
      <c r="Z45" s="11">
        <f>IF(A45&gt;TODAY(),"Upcoming",IF(Y45&lt;&gt;"","✓ Updated",IF(A45+6&gt;=TODAY(),"Due Friday","⚠ Missing")))</f>
        <v/>
      </c>
    </row>
    <row r="46">
      <c r="A46" s="35" t="n">
        <v>46510</v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7" t="n"/>
      <c r="T46" s="37" t="n"/>
      <c r="U46" s="37" t="n"/>
      <c r="V46" s="38" t="n"/>
      <c r="W46" s="38" t="n"/>
      <c r="X46" s="38" t="n"/>
      <c r="Y46" s="39" t="n"/>
      <c r="Z46" s="11">
        <f>IF(A46&gt;TODAY(),"Upcoming",IF(Y46&lt;&gt;"","✓ Updated",IF(A46+6&gt;=TODAY(),"Due Friday","⚠ Missing")))</f>
        <v/>
      </c>
    </row>
    <row r="47">
      <c r="A47" s="35" t="n">
        <v>46517</v>
      </c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7" t="n"/>
      <c r="T47" s="37" t="n"/>
      <c r="U47" s="37" t="n"/>
      <c r="V47" s="38" t="n"/>
      <c r="W47" s="38" t="n"/>
      <c r="X47" s="38" t="n"/>
      <c r="Y47" s="39" t="n"/>
      <c r="Z47" s="11">
        <f>IF(A47&gt;TODAY(),"Upcoming",IF(Y47&lt;&gt;"","✓ Updated",IF(A47+6&gt;=TODAY(),"Due Friday","⚠ Missing")))</f>
        <v/>
      </c>
    </row>
    <row r="48">
      <c r="A48" s="35" t="n">
        <v>46524</v>
      </c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7" t="n"/>
      <c r="T48" s="37" t="n"/>
      <c r="U48" s="37" t="n"/>
      <c r="V48" s="38" t="n"/>
      <c r="W48" s="38" t="n"/>
      <c r="X48" s="38" t="n"/>
      <c r="Y48" s="39" t="n"/>
      <c r="Z48" s="11">
        <f>IF(A48&gt;TODAY(),"Upcoming",IF(Y48&lt;&gt;"","✓ Updated",IF(A48+6&gt;=TODAY(),"Due Friday","⚠ Missing")))</f>
        <v/>
      </c>
    </row>
    <row r="49">
      <c r="A49" s="35" t="n">
        <v>46531</v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7" t="n"/>
      <c r="T49" s="37" t="n"/>
      <c r="U49" s="37" t="n"/>
      <c r="V49" s="38" t="n"/>
      <c r="W49" s="38" t="n"/>
      <c r="X49" s="38" t="n"/>
      <c r="Y49" s="39" t="n"/>
      <c r="Z49" s="11">
        <f>IF(A49&gt;TODAY(),"Upcoming",IF(Y49&lt;&gt;"","✓ Updated",IF(A49+6&gt;=TODAY(),"Due Friday","⚠ Missing")))</f>
        <v/>
      </c>
    </row>
    <row r="50">
      <c r="A50" s="35" t="n">
        <v>46538</v>
      </c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7" t="n"/>
      <c r="T50" s="37" t="n"/>
      <c r="U50" s="37" t="n"/>
      <c r="V50" s="38" t="n"/>
      <c r="W50" s="38" t="n"/>
      <c r="X50" s="38" t="n"/>
      <c r="Y50" s="39" t="n"/>
      <c r="Z50" s="11">
        <f>IF(A50&gt;TODAY(),"Upcoming",IF(Y50&lt;&gt;"","✓ Updated",IF(A50+6&gt;=TODAY(),"Due Friday","⚠ Missing")))</f>
        <v/>
      </c>
    </row>
    <row r="51">
      <c r="A51" s="35" t="n">
        <v>46545</v>
      </c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7" t="n"/>
      <c r="T51" s="37" t="n"/>
      <c r="U51" s="37" t="n"/>
      <c r="V51" s="38" t="n"/>
      <c r="W51" s="38" t="n"/>
      <c r="X51" s="38" t="n"/>
      <c r="Y51" s="39" t="n"/>
      <c r="Z51" s="11">
        <f>IF(A51&gt;TODAY(),"Upcoming",IF(Y51&lt;&gt;"","✓ Updated",IF(A51+6&gt;=TODAY(),"Due Friday","⚠ Missing")))</f>
        <v/>
      </c>
    </row>
    <row r="52">
      <c r="A52" s="35" t="n">
        <v>46552</v>
      </c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7" t="n"/>
      <c r="T52" s="37" t="n"/>
      <c r="U52" s="37" t="n"/>
      <c r="V52" s="38" t="n"/>
      <c r="W52" s="38" t="n"/>
      <c r="X52" s="38" t="n"/>
      <c r="Y52" s="39" t="n"/>
      <c r="Z52" s="11">
        <f>IF(A52&gt;TODAY(),"Upcoming",IF(Y52&lt;&gt;"","✓ Updated",IF(A52+6&gt;=TODAY(),"Due Friday","⚠ Missing")))</f>
        <v/>
      </c>
    </row>
    <row r="53">
      <c r="A53" s="35" t="n">
        <v>46559</v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7" t="n"/>
      <c r="T53" s="37" t="n"/>
      <c r="U53" s="37" t="n"/>
      <c r="V53" s="38" t="n"/>
      <c r="W53" s="38" t="n"/>
      <c r="X53" s="38" t="n"/>
      <c r="Y53" s="39" t="n"/>
      <c r="Z53" s="11">
        <f>IF(A53&gt;TODAY(),"Upcoming",IF(Y53&lt;&gt;"","✓ Updated",IF(A53+6&gt;=TODAY(),"Due Friday","⚠ Missing")))</f>
        <v/>
      </c>
    </row>
    <row r="54">
      <c r="A54" s="35" t="n">
        <v>46566</v>
      </c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7" t="n"/>
      <c r="T54" s="37" t="n"/>
      <c r="U54" s="37" t="n"/>
      <c r="V54" s="38" t="n"/>
      <c r="W54" s="38" t="n"/>
      <c r="X54" s="38" t="n"/>
      <c r="Y54" s="39" t="n"/>
      <c r="Z54" s="11">
        <f>IF(A54&gt;TODAY(),"Upcoming",IF(Y54&lt;&gt;"","✓ Updated",IF(A54+6&gt;=TODAY(),"Due Friday","⚠ Missing")))</f>
        <v/>
      </c>
    </row>
    <row r="55">
      <c r="A55" s="35" t="n">
        <v>46573</v>
      </c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7" t="n"/>
      <c r="T55" s="37" t="n"/>
      <c r="U55" s="37" t="n"/>
      <c r="V55" s="38" t="n"/>
      <c r="W55" s="38" t="n"/>
      <c r="X55" s="38" t="n"/>
      <c r="Y55" s="39" t="n"/>
      <c r="Z55" s="11">
        <f>IF(A55&gt;TODAY(),"Upcoming",IF(Y55&lt;&gt;"","✓ Updated",IF(A55+6&gt;=TODAY(),"Due Friday","⚠ Missing")))</f>
        <v/>
      </c>
    </row>
    <row r="56">
      <c r="A56" s="35" t="n">
        <v>46580</v>
      </c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7" t="n"/>
      <c r="T56" s="37" t="n"/>
      <c r="U56" s="37" t="n"/>
      <c r="V56" s="38" t="n"/>
      <c r="W56" s="38" t="n"/>
      <c r="X56" s="38" t="n"/>
      <c r="Y56" s="39" t="n"/>
      <c r="Z56" s="11">
        <f>IF(A56&gt;TODAY(),"Upcoming",IF(Y56&lt;&gt;"","✓ Updated",IF(A56+6&gt;=TODAY(),"Due Friday","⚠ Missing")))</f>
        <v/>
      </c>
    </row>
    <row r="57">
      <c r="A57" s="35" t="n">
        <v>46587</v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7" t="n"/>
      <c r="T57" s="37" t="n"/>
      <c r="U57" s="37" t="n"/>
      <c r="V57" s="38" t="n"/>
      <c r="W57" s="38" t="n"/>
      <c r="X57" s="38" t="n"/>
      <c r="Y57" s="39" t="n"/>
      <c r="Z57" s="11">
        <f>IF(A57&gt;TODAY(),"Upcoming",IF(Y57&lt;&gt;"","✓ Updated",IF(A57+6&gt;=TODAY(),"Due Friday","⚠ Missing")))</f>
        <v/>
      </c>
    </row>
    <row r="58">
      <c r="A58" s="35" t="n">
        <v>46594</v>
      </c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7" t="n"/>
      <c r="T58" s="37" t="n"/>
      <c r="U58" s="37" t="n"/>
      <c r="V58" s="38" t="n"/>
      <c r="W58" s="38" t="n"/>
      <c r="X58" s="38" t="n"/>
      <c r="Y58" s="39" t="n"/>
      <c r="Z58" s="11">
        <f>IF(A58&gt;TODAY(),"Upcoming",IF(Y58&lt;&gt;"","✓ Updated",IF(A58+6&gt;=TODAY(),"Due Friday","⚠ Missing")))</f>
        <v/>
      </c>
    </row>
    <row r="59">
      <c r="A59" s="35" t="n">
        <v>46601</v>
      </c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7" t="n"/>
      <c r="T59" s="37" t="n"/>
      <c r="U59" s="37" t="n"/>
      <c r="V59" s="38" t="n"/>
      <c r="W59" s="38" t="n"/>
      <c r="X59" s="38" t="n"/>
      <c r="Y59" s="39" t="n"/>
      <c r="Z59" s="11">
        <f>IF(A59&gt;TODAY(),"Upcoming",IF(Y59&lt;&gt;"","✓ Updated",IF(A59+6&gt;=TODAY(),"Due Friday","⚠ Missing")))</f>
        <v/>
      </c>
    </row>
    <row r="60">
      <c r="A60" s="35" t="n">
        <v>46608</v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7" t="n"/>
      <c r="T60" s="37" t="n"/>
      <c r="U60" s="37" t="n"/>
      <c r="V60" s="38" t="n"/>
      <c r="W60" s="38" t="n"/>
      <c r="X60" s="38" t="n"/>
      <c r="Y60" s="39" t="n"/>
      <c r="Z60" s="11">
        <f>IF(A60&gt;TODAY(),"Upcoming",IF(Y60&lt;&gt;"","✓ Updated",IF(A60+6&gt;=TODAY(),"Due Friday","⚠ Missing")))</f>
        <v/>
      </c>
    </row>
    <row r="61">
      <c r="A61" s="35" t="n">
        <v>46615</v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7" t="n"/>
      <c r="T61" s="37" t="n"/>
      <c r="U61" s="37" t="n"/>
      <c r="V61" s="38" t="n"/>
      <c r="W61" s="38" t="n"/>
      <c r="X61" s="38" t="n"/>
      <c r="Y61" s="39" t="n"/>
      <c r="Z61" s="11">
        <f>IF(A61&gt;TODAY(),"Upcoming",IF(Y61&lt;&gt;"","✓ Updated",IF(A61+6&gt;=TODAY(),"Due Friday","⚠ Missing")))</f>
        <v/>
      </c>
    </row>
    <row r="62">
      <c r="A62" s="35" t="n">
        <v>46622</v>
      </c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7" t="n"/>
      <c r="T62" s="37" t="n"/>
      <c r="U62" s="37" t="n"/>
      <c r="V62" s="38" t="n"/>
      <c r="W62" s="38" t="n"/>
      <c r="X62" s="38" t="n"/>
      <c r="Y62" s="39" t="n"/>
      <c r="Z62" s="11">
        <f>IF(A62&gt;TODAY(),"Upcoming",IF(Y62&lt;&gt;"","✓ Updated",IF(A62+6&gt;=TODAY(),"Due Friday","⚠ Missing")))</f>
        <v/>
      </c>
    </row>
    <row r="63">
      <c r="A63" s="35" t="n">
        <v>46629</v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7" t="n"/>
      <c r="T63" s="37" t="n"/>
      <c r="U63" s="37" t="n"/>
      <c r="V63" s="38" t="n"/>
      <c r="W63" s="38" t="n"/>
      <c r="X63" s="38" t="n"/>
      <c r="Y63" s="39" t="n"/>
      <c r="Z63" s="11">
        <f>IF(A63&gt;TODAY(),"Upcoming",IF(Y63&lt;&gt;"","✓ Updated",IF(A63+6&gt;=TODAY(),"Due Friday","⚠ Missing")))</f>
        <v/>
      </c>
    </row>
    <row r="64">
      <c r="A64" s="35" t="n">
        <v>46636</v>
      </c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7" t="n"/>
      <c r="T64" s="37" t="n"/>
      <c r="U64" s="37" t="n"/>
      <c r="V64" s="38" t="n"/>
      <c r="W64" s="38" t="n"/>
      <c r="X64" s="38" t="n"/>
      <c r="Y64" s="39" t="n"/>
      <c r="Z64" s="11">
        <f>IF(A64&gt;TODAY(),"Upcoming",IF(Y64&lt;&gt;"","✓ Updated",IF(A64+6&gt;=TODAY(),"Due Friday","⚠ Missing")))</f>
        <v/>
      </c>
    </row>
    <row r="65">
      <c r="A65" s="35" t="n">
        <v>46643</v>
      </c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7" t="n"/>
      <c r="T65" s="37" t="n"/>
      <c r="U65" s="37" t="n"/>
      <c r="V65" s="38" t="n"/>
      <c r="W65" s="38" t="n"/>
      <c r="X65" s="38" t="n"/>
      <c r="Y65" s="39" t="n"/>
      <c r="Z65" s="11">
        <f>IF(A65&gt;TODAY(),"Upcoming",IF(Y65&lt;&gt;"","✓ Updated",IF(A65+6&gt;=TODAY(),"Due Friday","⚠ Missing")))</f>
        <v/>
      </c>
    </row>
    <row r="66">
      <c r="A66" s="35" t="n">
        <v>46650</v>
      </c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7" t="n"/>
      <c r="T66" s="37" t="n"/>
      <c r="U66" s="37" t="n"/>
      <c r="V66" s="38" t="n"/>
      <c r="W66" s="38" t="n"/>
      <c r="X66" s="38" t="n"/>
      <c r="Y66" s="39" t="n"/>
      <c r="Z66" s="11">
        <f>IF(A66&gt;TODAY(),"Upcoming",IF(Y66&lt;&gt;"","✓ Updated",IF(A66+6&gt;=TODAY(),"Due Friday","⚠ Missing")))</f>
        <v/>
      </c>
    </row>
    <row r="67">
      <c r="A67" s="35" t="n">
        <v>46657</v>
      </c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7" t="n"/>
      <c r="T67" s="37" t="n"/>
      <c r="U67" s="37" t="n"/>
      <c r="V67" s="38" t="n"/>
      <c r="W67" s="38" t="n"/>
      <c r="X67" s="38" t="n"/>
      <c r="Y67" s="39" t="n"/>
      <c r="Z67" s="11">
        <f>IF(A67&gt;TODAY(),"Upcoming",IF(Y67&lt;&gt;"","✓ Updated",IF(A67+6&gt;=TODAY(),"Due Friday","⚠ Missing")))</f>
        <v/>
      </c>
    </row>
    <row r="68">
      <c r="A68" s="35" t="n">
        <v>46664</v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7" t="n"/>
      <c r="T68" s="37" t="n"/>
      <c r="U68" s="37" t="n"/>
      <c r="V68" s="38" t="n"/>
      <c r="W68" s="38" t="n"/>
      <c r="X68" s="38" t="n"/>
      <c r="Y68" s="39" t="n"/>
      <c r="Z68" s="11">
        <f>IF(A68&gt;TODAY(),"Upcoming",IF(Y68&lt;&gt;"","✓ Updated",IF(A68+6&gt;=TODAY(),"Due Friday","⚠ Missing")))</f>
        <v/>
      </c>
    </row>
    <row r="69">
      <c r="A69" s="35" t="n">
        <v>46671</v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7" t="n"/>
      <c r="T69" s="37" t="n"/>
      <c r="U69" s="37" t="n"/>
      <c r="V69" s="38" t="n"/>
      <c r="W69" s="38" t="n"/>
      <c r="X69" s="38" t="n"/>
      <c r="Y69" s="39" t="n"/>
      <c r="Z69" s="11">
        <f>IF(A69&gt;TODAY(),"Upcoming",IF(Y69&lt;&gt;"","✓ Updated",IF(A69+6&gt;=TODAY(),"Due Friday","⚠ Missing")))</f>
        <v/>
      </c>
    </row>
    <row r="70">
      <c r="A70" s="35" t="n">
        <v>46678</v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7" t="n"/>
      <c r="T70" s="37" t="n"/>
      <c r="U70" s="37" t="n"/>
      <c r="V70" s="38" t="n"/>
      <c r="W70" s="38" t="n"/>
      <c r="X70" s="38" t="n"/>
      <c r="Y70" s="39" t="n"/>
      <c r="Z70" s="11">
        <f>IF(A70&gt;TODAY(),"Upcoming",IF(Y70&lt;&gt;"","✓ Updated",IF(A70+6&gt;=TODAY(),"Due Friday","⚠ Missing")))</f>
        <v/>
      </c>
    </row>
    <row r="71">
      <c r="A71" s="35" t="n">
        <v>46685</v>
      </c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7" t="n"/>
      <c r="T71" s="37" t="n"/>
      <c r="U71" s="37" t="n"/>
      <c r="V71" s="38" t="n"/>
      <c r="W71" s="38" t="n"/>
      <c r="X71" s="38" t="n"/>
      <c r="Y71" s="39" t="n"/>
      <c r="Z71" s="11">
        <f>IF(A71&gt;TODAY(),"Upcoming",IF(Y71&lt;&gt;"","✓ Updated",IF(A71+6&gt;=TODAY(),"Due Friday","⚠ Missing")))</f>
        <v/>
      </c>
    </row>
    <row r="72">
      <c r="A72" s="35" t="n">
        <v>46692</v>
      </c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7" t="n"/>
      <c r="T72" s="37" t="n"/>
      <c r="U72" s="37" t="n"/>
      <c r="V72" s="38" t="n"/>
      <c r="W72" s="38" t="n"/>
      <c r="X72" s="38" t="n"/>
      <c r="Y72" s="39" t="n"/>
      <c r="Z72" s="11">
        <f>IF(A72&gt;TODAY(),"Upcoming",IF(Y72&lt;&gt;"","✓ Updated",IF(A72+6&gt;=TODAY(),"Due Friday","⚠ Missing")))</f>
        <v/>
      </c>
    </row>
    <row r="73">
      <c r="A73" s="35" t="n">
        <v>46699</v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7" t="n"/>
      <c r="T73" s="37" t="n"/>
      <c r="U73" s="37" t="n"/>
      <c r="V73" s="38" t="n"/>
      <c r="W73" s="38" t="n"/>
      <c r="X73" s="38" t="n"/>
      <c r="Y73" s="39" t="n"/>
      <c r="Z73" s="11">
        <f>IF(A73&gt;TODAY(),"Upcoming",IF(Y73&lt;&gt;"","✓ Updated",IF(A73+6&gt;=TODAY(),"Due Friday","⚠ Missing")))</f>
        <v/>
      </c>
    </row>
    <row r="74">
      <c r="A74" s="35" t="n">
        <v>46706</v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7" t="n"/>
      <c r="T74" s="37" t="n"/>
      <c r="U74" s="37" t="n"/>
      <c r="V74" s="38" t="n"/>
      <c r="W74" s="38" t="n"/>
      <c r="X74" s="38" t="n"/>
      <c r="Y74" s="39" t="n"/>
      <c r="Z74" s="11">
        <f>IF(A74&gt;TODAY(),"Upcoming",IF(Y74&lt;&gt;"","✓ Updated",IF(A74+6&gt;=TODAY(),"Due Friday","⚠ Missing")))</f>
        <v/>
      </c>
    </row>
    <row r="75">
      <c r="A75" s="35" t="n">
        <v>46713</v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7" t="n"/>
      <c r="T75" s="37" t="n"/>
      <c r="U75" s="37" t="n"/>
      <c r="V75" s="38" t="n"/>
      <c r="W75" s="38" t="n"/>
      <c r="X75" s="38" t="n"/>
      <c r="Y75" s="39" t="n"/>
      <c r="Z75" s="11">
        <f>IF(A75&gt;TODAY(),"Upcoming",IF(Y75&lt;&gt;"","✓ Updated",IF(A75+6&gt;=TODAY(),"Due Friday","⚠ Missing")))</f>
        <v/>
      </c>
    </row>
    <row r="76">
      <c r="A76" s="35" t="n">
        <v>46720</v>
      </c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7" t="n"/>
      <c r="T76" s="37" t="n"/>
      <c r="U76" s="37" t="n"/>
      <c r="V76" s="38" t="n"/>
      <c r="W76" s="38" t="n"/>
      <c r="X76" s="38" t="n"/>
      <c r="Y76" s="39" t="n"/>
      <c r="Z76" s="11">
        <f>IF(A76&gt;TODAY(),"Upcoming",IF(Y76&lt;&gt;"","✓ Updated",IF(A76+6&gt;=TODAY(),"Due Friday","⚠ Missing")))</f>
        <v/>
      </c>
    </row>
    <row r="77">
      <c r="A77" s="35" t="n">
        <v>46727</v>
      </c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7" t="n"/>
      <c r="T77" s="37" t="n"/>
      <c r="U77" s="37" t="n"/>
      <c r="V77" s="38" t="n"/>
      <c r="W77" s="38" t="n"/>
      <c r="X77" s="38" t="n"/>
      <c r="Y77" s="39" t="n"/>
      <c r="Z77" s="11">
        <f>IF(A77&gt;TODAY(),"Upcoming",IF(Y77&lt;&gt;"","✓ Updated",IF(A77+6&gt;=TODAY(),"Due Friday","⚠ Missing")))</f>
        <v/>
      </c>
    </row>
    <row r="78">
      <c r="A78" s="35" t="n">
        <v>46734</v>
      </c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7" t="n"/>
      <c r="T78" s="37" t="n"/>
      <c r="U78" s="37" t="n"/>
      <c r="V78" s="38" t="n"/>
      <c r="W78" s="38" t="n"/>
      <c r="X78" s="38" t="n"/>
      <c r="Y78" s="39" t="n"/>
      <c r="Z78" s="11">
        <f>IF(A78&gt;TODAY(),"Upcoming",IF(Y78&lt;&gt;"","✓ Updated",IF(A78+6&gt;=TODAY(),"Due Friday","⚠ Missing")))</f>
        <v/>
      </c>
    </row>
    <row r="79">
      <c r="A79" s="35" t="n">
        <v>46741</v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7" t="n"/>
      <c r="T79" s="37" t="n"/>
      <c r="U79" s="37" t="n"/>
      <c r="V79" s="38" t="n"/>
      <c r="W79" s="38" t="n"/>
      <c r="X79" s="38" t="n"/>
      <c r="Y79" s="39" t="n"/>
      <c r="Z79" s="11">
        <f>IF(A79&gt;TODAY(),"Upcoming",IF(Y79&lt;&gt;"","✓ Updated",IF(A79+6&gt;=TODAY(),"Due Friday","⚠ Missing")))</f>
        <v/>
      </c>
    </row>
    <row r="80">
      <c r="A80" s="35" t="n">
        <v>46748</v>
      </c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7" t="n"/>
      <c r="T80" s="37" t="n"/>
      <c r="U80" s="37" t="n"/>
      <c r="V80" s="38" t="n"/>
      <c r="W80" s="38" t="n"/>
      <c r="X80" s="38" t="n"/>
      <c r="Y80" s="39" t="n"/>
      <c r="Z80" s="11">
        <f>IF(A80&gt;TODAY(),"Upcoming",IF(Y80&lt;&gt;"","✓ Updated",IF(A80+6&gt;=TODAY(),"Due Friday","⚠ Missing")))</f>
        <v/>
      </c>
    </row>
  </sheetData>
  <mergeCells count="18">
    <mergeCell ref="H6:J6"/>
    <mergeCell ref="H10:J10"/>
    <mergeCell ref="A7:B7"/>
    <mergeCell ref="A1:Z1"/>
    <mergeCell ref="A11:B11"/>
    <mergeCell ref="H5:J5"/>
    <mergeCell ref="A10:B10"/>
    <mergeCell ref="A5:B5"/>
    <mergeCell ref="H8:J8"/>
    <mergeCell ref="H9:J9"/>
    <mergeCell ref="A4:F4"/>
    <mergeCell ref="A2:Z2"/>
    <mergeCell ref="A9:B9"/>
    <mergeCell ref="A8:B8"/>
    <mergeCell ref="H11:J11"/>
    <mergeCell ref="A6:B6"/>
    <mergeCell ref="H7:J7"/>
    <mergeCell ref="A12:B12"/>
  </mergeCells>
  <conditionalFormatting sqref="F6:F12">
    <cfRule type="cellIs" priority="1" operator="equal" dxfId="3">
      <formula>"On pace"</formula>
    </cfRule>
    <cfRule type="cellIs" priority="2" operator="equal" dxfId="4">
      <formula>"Behind"</formula>
    </cfRule>
  </conditionalFormatting>
  <conditionalFormatting sqref="Z15:Z80">
    <cfRule type="cellIs" priority="3" operator="equal" dxfId="0">
      <formula>"⚠ Missing"</formula>
    </cfRule>
    <cfRule type="cellIs" priority="4" operator="equal" dxfId="1">
      <formula>"✓ Updated"</formula>
    </cfRule>
    <cfRule type="cellIs" priority="5" operator="equal" dxfId="5">
      <formula>"Due Friday"</formula>
    </cfRule>
  </conditionalFormatting>
  <conditionalFormatting sqref="A15:X80">
    <cfRule type="expression" priority="6" dxfId="6">
      <formula>AND($A15&lt;=TODAY(),$A15+6&gt;=TODAY())</formula>
    </cfRule>
  </conditionalFormatting>
  <dataValidations count="1">
    <dataValidation sqref="B15:U80" showDropDown="0" showInputMessage="0" showErrorMessage="1" allowBlank="1" errorTitle="Numbers only" error="Please enter a number (0 or more)." type="decimal" operator="greaterThanOrEqual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9A227"/>
    <outlinePr summaryBelow="1" summaryRight="1"/>
    <pageSetUpPr/>
  </sheetPr>
  <dimension ref="A1:F3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  <col width="22" customWidth="1" min="3" max="3"/>
    <col width="22" customWidth="1" min="4" max="4"/>
    <col width="22" customWidth="1" min="5" max="5"/>
    <col hidden="1" width="13" customWidth="1" min="6" max="6"/>
  </cols>
  <sheetData>
    <row r="1" ht="34" customHeight="1">
      <c r="A1" s="1">
        <f>IF('Settings'!B20="","Agent 7",'Settings'!B20)&amp;" — Business Development &amp; Growth Assessment"</f>
        <v/>
      </c>
    </row>
    <row r="2" ht="44" customHeight="1">
      <c r="A2" s="5" t="inlineStr">
        <is>
          <t>THE PRAEDIUM GROUP  •  This assessment helps us understand where you are today, where your time is going, and what training, structure, or support could help you grow. There are no “right” answers — answer based on what your business actually looks like today. Estimates are completely acceptable. Yellow cells are yours to fill in.</t>
        </is>
      </c>
    </row>
    <row r="3">
      <c r="B3" s="40" t="inlineStr">
        <is>
          <t>Completion:</t>
        </is>
      </c>
      <c r="C3" s="41">
        <f>IFERROR(SUMPRODUCT((F5:F400=1)*(C5:C400&lt;&gt;""))/SUM(F5:F400),0)</f>
        <v/>
      </c>
    </row>
    <row r="5" ht="24" customHeight="1">
      <c r="A5" s="42" t="inlineStr">
        <is>
          <t>1. ABOUT YOUR BUSINESS TODAY</t>
        </is>
      </c>
    </row>
    <row r="6">
      <c r="B6" s="43" t="inlineStr">
        <is>
          <t>Market Center / KW Office</t>
        </is>
      </c>
      <c r="C6" s="44" t="n"/>
      <c r="D6" s="28" t="n"/>
      <c r="E6" s="28" t="n"/>
      <c r="F6" t="n">
        <v>1</v>
      </c>
    </row>
    <row r="7">
      <c r="B7" s="43" t="inlineStr">
        <is>
          <t>How long have you been licensed in real estate?</t>
        </is>
      </c>
      <c r="C7" s="44" t="n"/>
      <c r="D7" s="28" t="n"/>
      <c r="E7" s="28" t="n"/>
      <c r="F7" t="n">
        <v>1</v>
      </c>
    </row>
    <row r="8">
      <c r="B8" s="43" t="inlineStr">
        <is>
          <t>How long have you actively worked in commercial real estate?</t>
        </is>
      </c>
      <c r="C8" s="44" t="n"/>
      <c r="D8" s="28" t="n"/>
      <c r="E8" s="28" t="n"/>
      <c r="F8" t="n">
        <v>1</v>
      </c>
    </row>
    <row r="9">
      <c r="B9" s="43" t="inlineStr">
        <is>
          <t>How would you describe your current real estate business?</t>
        </is>
      </c>
      <c r="C9" s="44" t="n"/>
      <c r="D9" s="28" t="n"/>
      <c r="E9" s="28" t="n"/>
      <c r="F9" t="n">
        <v>1</v>
      </c>
    </row>
    <row r="10" ht="48" customHeight="1">
      <c r="B10" s="43" t="inlineStr">
        <is>
          <t>If you selected Other, please explain:</t>
        </is>
      </c>
      <c r="C10" s="44" t="n"/>
      <c r="D10" s="28" t="n"/>
      <c r="E10" s="28" t="n"/>
      <c r="F10" t="n">
        <v>1</v>
      </c>
    </row>
    <row r="11">
      <c r="B11" s="43" t="inlineStr">
        <is>
          <t>Is real estate currently your primary occupation?</t>
        </is>
      </c>
      <c r="C11" s="44" t="n"/>
      <c r="D11" s="28" t="n"/>
      <c r="E11" s="28" t="n"/>
      <c r="F11" t="n">
        <v>1</v>
      </c>
    </row>
    <row r="12" ht="48" customHeight="1">
      <c r="B12" s="43" t="inlineStr">
        <is>
          <t>If not, what other work or major commitments currently compete for your time?</t>
        </is>
      </c>
      <c r="C12" s="44" t="n"/>
      <c r="D12" s="28" t="n"/>
      <c r="E12" s="28" t="n"/>
      <c r="F12" t="n">
        <v>1</v>
      </c>
    </row>
    <row r="14" ht="24" customHeight="1">
      <c r="A14" s="42" t="inlineStr">
        <is>
          <t>2. YOUR CURRENT WORK WEEK</t>
        </is>
      </c>
    </row>
    <row r="15" ht="28" customHeight="1">
      <c r="A15" s="45" t="inlineStr">
        <is>
          <t>We want to understand what your schedule actually looks like today.</t>
        </is>
      </c>
    </row>
    <row r="16">
      <c r="B16" s="43" t="inlineStr">
        <is>
          <t>On average, how many days per week do you currently spend working on real estate?</t>
        </is>
      </c>
      <c r="C16" s="44" t="n"/>
      <c r="D16" s="28" t="n"/>
      <c r="E16" s="28" t="n"/>
      <c r="F16" t="n">
        <v>1</v>
      </c>
    </row>
    <row r="17">
      <c r="B17" s="43" t="inlineStr">
        <is>
          <t>How many hours do you work on real estate during a typical day?</t>
        </is>
      </c>
      <c r="C17" s="44" t="n"/>
      <c r="D17" s="28" t="n"/>
      <c r="E17" s="28" t="n"/>
      <c r="F17" t="n">
        <v>1</v>
      </c>
    </row>
    <row r="18">
      <c r="B18" s="43" t="inlineStr">
        <is>
          <t>What time do you normally begin your workday?</t>
        </is>
      </c>
      <c r="C18" s="44" t="n"/>
      <c r="D18" s="28" t="n"/>
      <c r="E18" s="28" t="n"/>
      <c r="F18" t="n">
        <v>1</v>
      </c>
    </row>
    <row r="19">
      <c r="B19" s="43" t="inlineStr">
        <is>
          <t>What time do you normally finish your workday?</t>
        </is>
      </c>
      <c r="C19" s="44" t="n"/>
      <c r="D19" s="28" t="n"/>
      <c r="E19" s="28" t="n"/>
      <c r="F19" t="n">
        <v>1</v>
      </c>
    </row>
    <row r="20">
      <c r="B20" s="43" t="inlineStr">
        <is>
          <t>Is your schedule generally consistent from day to day?</t>
        </is>
      </c>
      <c r="C20" s="44" t="n"/>
      <c r="D20" s="28" t="n"/>
      <c r="E20" s="28" t="n"/>
      <c r="F20" t="n">
        <v>1</v>
      </c>
    </row>
    <row r="22">
      <c r="B22" s="46" t="inlineStr">
        <is>
          <t>Day</t>
        </is>
      </c>
      <c r="C22" s="46" t="inlineStr">
        <is>
          <t>Usually Work?</t>
        </is>
      </c>
      <c r="D22" s="46" t="inlineStr">
        <is>
          <t>Approx. Hours</t>
        </is>
      </c>
    </row>
    <row r="23">
      <c r="B23" s="47" t="inlineStr">
        <is>
          <t>Monday</t>
        </is>
      </c>
      <c r="C23" s="36" t="n"/>
      <c r="D23" s="36" t="n"/>
      <c r="F23" t="n">
        <v>1</v>
      </c>
    </row>
    <row r="24">
      <c r="B24" s="47" t="inlineStr">
        <is>
          <t>Tuesday</t>
        </is>
      </c>
      <c r="C24" s="36" t="n"/>
      <c r="D24" s="36" t="n"/>
      <c r="F24" t="n">
        <v>1</v>
      </c>
    </row>
    <row r="25">
      <c r="B25" s="47" t="inlineStr">
        <is>
          <t>Wednesday</t>
        </is>
      </c>
      <c r="C25" s="36" t="n"/>
      <c r="D25" s="36" t="n"/>
      <c r="F25" t="n">
        <v>1</v>
      </c>
    </row>
    <row r="26">
      <c r="B26" s="47" t="inlineStr">
        <is>
          <t>Thursday</t>
        </is>
      </c>
      <c r="C26" s="36" t="n"/>
      <c r="D26" s="36" t="n"/>
      <c r="F26" t="n">
        <v>1</v>
      </c>
    </row>
    <row r="27">
      <c r="B27" s="47" t="inlineStr">
        <is>
          <t>Friday</t>
        </is>
      </c>
      <c r="C27" s="36" t="n"/>
      <c r="D27" s="36" t="n"/>
      <c r="F27" t="n">
        <v>1</v>
      </c>
    </row>
    <row r="28">
      <c r="B28" s="47" t="inlineStr">
        <is>
          <t>Saturday</t>
        </is>
      </c>
      <c r="C28" s="36" t="n"/>
      <c r="D28" s="36" t="n"/>
      <c r="F28" t="n">
        <v>1</v>
      </c>
    </row>
    <row r="29">
      <c r="B29" s="47" t="inlineStr">
        <is>
          <t>Sunday</t>
        </is>
      </c>
      <c r="C29" s="36" t="n"/>
      <c r="D29" s="36" t="n"/>
      <c r="F29" t="n">
        <v>1</v>
      </c>
    </row>
    <row r="31">
      <c r="B31" s="48" t="inlineStr">
        <is>
          <t>How is your typical real estate week divided?</t>
        </is>
      </c>
    </row>
    <row r="32">
      <c r="B32" s="46" t="inlineStr">
        <is>
          <t>Area</t>
        </is>
      </c>
      <c r="C32" s="46" t="inlineStr">
        <is>
          <t>Hours / Week</t>
        </is>
      </c>
    </row>
    <row r="33">
      <c r="B33" s="47" t="inlineStr">
        <is>
          <t>Commercial Real Estate</t>
        </is>
      </c>
      <c r="C33" s="36" t="n"/>
      <c r="F33" t="n">
        <v>1</v>
      </c>
    </row>
    <row r="34">
      <c r="B34" s="47" t="inlineStr">
        <is>
          <t>Residential Real Estate</t>
        </is>
      </c>
      <c r="C34" s="36" t="n"/>
      <c r="F34" t="n">
        <v>1</v>
      </c>
    </row>
    <row r="35">
      <c r="B35" s="47" t="inlineStr">
        <is>
          <t>Administrative / Business Operations</t>
        </is>
      </c>
      <c r="C35" s="36" t="n"/>
      <c r="F35" t="n">
        <v>1</v>
      </c>
    </row>
    <row r="36">
      <c r="B36" s="47" t="inlineStr">
        <is>
          <t>Other</t>
        </is>
      </c>
      <c r="C36" s="36" t="n"/>
      <c r="F36" t="n">
        <v>1</v>
      </c>
    </row>
    <row r="37">
      <c r="B37" s="49" t="inlineStr">
        <is>
          <t>TOTAL</t>
        </is>
      </c>
      <c r="C37" s="50">
        <f>SUM(C33:C36)</f>
        <v/>
      </c>
    </row>
    <row r="38" ht="48" customHeight="1">
      <c r="B38" s="43" t="inlineStr">
        <is>
          <t>If Other, what does that time consist of?</t>
        </is>
      </c>
      <c r="C38" s="44" t="n"/>
      <c r="D38" s="28" t="n"/>
      <c r="E38" s="28" t="n"/>
      <c r="F38" t="n">
        <v>1</v>
      </c>
    </row>
    <row r="40" ht="24" customHeight="1">
      <c r="A40" s="42" t="inlineStr">
        <is>
          <t>3. WHERE DOES YOUR TIME ACTUALLY GO?</t>
        </is>
      </c>
    </row>
    <row r="41" ht="28" customHeight="1">
      <c r="A41" s="45" t="inlineStr">
        <is>
          <t>You do not need to track every minute. Think about a typical week and make your best estimate. Use this guide if you are unsure how to categorize something.</t>
        </is>
      </c>
    </row>
    <row r="42">
      <c r="B42" s="51" t="inlineStr">
        <is>
          <t>Category</t>
        </is>
      </c>
      <c r="C42" s="51" t="inlineStr">
        <is>
          <t>Examples</t>
        </is>
      </c>
    </row>
    <row r="43" ht="26" customHeight="1">
      <c r="B43" s="3" t="inlineStr">
        <is>
          <t>Prospecting / Business Development</t>
        </is>
      </c>
      <c r="C43" s="52" t="inlineStr">
        <is>
          <t>Cold calling, owner outreach, tenant outreach, email campaigns, canvassing, prospect research</t>
        </is>
      </c>
    </row>
    <row r="44" ht="26" customHeight="1">
      <c r="B44" s="3" t="inlineStr">
        <is>
          <t>Client / Deal Work</t>
        </is>
      </c>
      <c r="C44" s="52" t="inlineStr">
        <is>
          <t>Tours, client meetings, LOIs, contracts, negotiations, due diligence, inspections, closing coordination</t>
        </is>
      </c>
    </row>
    <row r="45" ht="26" customHeight="1">
      <c r="B45" s="3" t="inlineStr">
        <is>
          <t>Market Research</t>
        </is>
      </c>
      <c r="C45" s="52" t="inlineStr">
        <is>
          <t>Crexi, CoStar, GIS, Land id, researching ownership, comps, zoning, demographics</t>
        </is>
      </c>
    </row>
    <row r="46" ht="26" customHeight="1">
      <c r="B46" s="3" t="inlineStr">
        <is>
          <t>Follow-Up / CRM</t>
        </is>
      </c>
      <c r="C46" s="52" t="inlineStr">
        <is>
          <t>Returning calls, email follow-up, CRM updates, maintaining prospect lists</t>
        </is>
      </c>
    </row>
    <row r="47" ht="26" customHeight="1">
      <c r="B47" s="3" t="inlineStr">
        <is>
          <t>Networking / Sphere</t>
        </is>
      </c>
      <c r="C47" s="52" t="inlineStr">
        <is>
          <t>KW agents, attorneys, lenders, CPAs, developers, business owners, networking events</t>
        </is>
      </c>
    </row>
    <row r="48" ht="26" customHeight="1">
      <c r="B48" s="3" t="inlineStr">
        <is>
          <t>Marketing</t>
        </is>
      </c>
      <c r="C48" s="52" t="inlineStr">
        <is>
          <t>Social media, property marketing, flyers, listing materials, content creation</t>
        </is>
      </c>
    </row>
    <row r="49" ht="26" customHeight="1">
      <c r="B49" s="3" t="inlineStr">
        <is>
          <t>Residential</t>
        </is>
      </c>
      <c r="C49" s="52" t="inlineStr">
        <is>
          <t>Residential prospecting, showings, listings, buyers, contracts, closings</t>
        </is>
      </c>
    </row>
    <row r="50" ht="26" customHeight="1">
      <c r="B50" s="3" t="inlineStr">
        <is>
          <t>Administrative</t>
        </is>
      </c>
      <c r="C50" s="52" t="inlineStr">
        <is>
          <t>Paperwork, scheduling, expense tracking, file organization, general admin</t>
        </is>
      </c>
    </row>
    <row r="51" ht="26" customHeight="1">
      <c r="B51" s="3" t="inlineStr">
        <is>
          <t>Training / Development</t>
        </is>
      </c>
      <c r="C51" s="52" t="inlineStr">
        <is>
          <t>Courses, meetings, CRE training, technology training, role-playing</t>
        </is>
      </c>
    </row>
    <row r="52" ht="26" customHeight="1">
      <c r="B52" s="3" t="inlineStr">
        <is>
          <t>Other</t>
        </is>
      </c>
      <c r="C52" s="52" t="inlineStr">
        <is>
          <t>Anything that does not reasonably fit above</t>
        </is>
      </c>
    </row>
    <row r="54">
      <c r="B54" s="46" t="inlineStr">
        <is>
          <t>Activity</t>
        </is>
      </c>
      <c r="C54" s="46" t="inlineStr">
        <is>
          <t>Approx. Hours / Week</t>
        </is>
      </c>
      <c r="D54" s="46" t="inlineStr">
        <is>
          <t>% of Real Estate Time</t>
        </is>
      </c>
    </row>
    <row r="55">
      <c r="B55" s="47" t="inlineStr">
        <is>
          <t>Commercial Prospecting / Business Development</t>
        </is>
      </c>
      <c r="C55" s="36" t="n"/>
      <c r="D55" s="53">
        <f>IFERROR(C55/SUM(C$55:C$64),"")</f>
        <v/>
      </c>
      <c r="F55" t="n">
        <v>1</v>
      </c>
    </row>
    <row r="56">
      <c r="B56" s="47" t="inlineStr">
        <is>
          <t>Commercial Client &amp; Deal Work</t>
        </is>
      </c>
      <c r="C56" s="36" t="n"/>
      <c r="D56" s="53">
        <f>IFERROR(C56/SUM(C$55:C$64),"")</f>
        <v/>
      </c>
      <c r="F56" t="n">
        <v>1</v>
      </c>
    </row>
    <row r="57">
      <c r="B57" s="47" t="inlineStr">
        <is>
          <t>Commercial Market Research</t>
        </is>
      </c>
      <c r="C57" s="36" t="n"/>
      <c r="D57" s="53">
        <f>IFERROR(C57/SUM(C$55:C$64),"")</f>
        <v/>
      </c>
      <c r="F57" t="n">
        <v>1</v>
      </c>
    </row>
    <row r="58">
      <c r="B58" s="47" t="inlineStr">
        <is>
          <t>Follow-Up / CRM</t>
        </is>
      </c>
      <c r="C58" s="36" t="n"/>
      <c r="D58" s="53">
        <f>IFERROR(C58/SUM(C$55:C$64),"")</f>
        <v/>
      </c>
      <c r="F58" t="n">
        <v>1</v>
      </c>
    </row>
    <row r="59">
      <c r="B59" s="47" t="inlineStr">
        <is>
          <t>Networking / Sphere Development</t>
        </is>
      </c>
      <c r="C59" s="36" t="n"/>
      <c r="D59" s="53">
        <f>IFERROR(C59/SUM(C$55:C$64),"")</f>
        <v/>
      </c>
      <c r="F59" t="n">
        <v>1</v>
      </c>
    </row>
    <row r="60">
      <c r="B60" s="47" t="inlineStr">
        <is>
          <t>Marketing / Content</t>
        </is>
      </c>
      <c r="C60" s="36" t="n"/>
      <c r="D60" s="53">
        <f>IFERROR(C60/SUM(C$55:C$64),"")</f>
        <v/>
      </c>
      <c r="F60" t="n">
        <v>1</v>
      </c>
    </row>
    <row r="61">
      <c r="B61" s="47" t="inlineStr">
        <is>
          <t>Residential Business</t>
        </is>
      </c>
      <c r="C61" s="36" t="n"/>
      <c r="D61" s="53">
        <f>IFERROR(C61/SUM(C$55:C$64),"")</f>
        <v/>
      </c>
      <c r="F61" t="n">
        <v>1</v>
      </c>
    </row>
    <row r="62">
      <c r="B62" s="47" t="inlineStr">
        <is>
          <t>Administrative Work</t>
        </is>
      </c>
      <c r="C62" s="36" t="n"/>
      <c r="D62" s="53">
        <f>IFERROR(C62/SUM(C$55:C$64),"")</f>
        <v/>
      </c>
      <c r="F62" t="n">
        <v>1</v>
      </c>
    </row>
    <row r="63">
      <c r="B63" s="47" t="inlineStr">
        <is>
          <t>Training / Professional Development</t>
        </is>
      </c>
      <c r="C63" s="36" t="n"/>
      <c r="D63" s="53">
        <f>IFERROR(C63/SUM(C$55:C$64),"")</f>
        <v/>
      </c>
      <c r="F63" t="n">
        <v>1</v>
      </c>
    </row>
    <row r="64">
      <c r="B64" s="47" t="inlineStr">
        <is>
          <t>Other</t>
        </is>
      </c>
      <c r="C64" s="36" t="n"/>
      <c r="D64" s="53">
        <f>IFERROR(C64/SUM(C$55:C$64),"")</f>
        <v/>
      </c>
      <c r="F64" t="n">
        <v>1</v>
      </c>
    </row>
    <row r="65">
      <c r="B65" s="49" t="inlineStr">
        <is>
          <t>TOTAL</t>
        </is>
      </c>
      <c r="C65" s="50">
        <f>SUM(C55:C64)</f>
        <v/>
      </c>
      <c r="D65" s="54">
        <f>IFERROR(SUM(D55:D64),"")</f>
        <v/>
      </c>
    </row>
    <row r="66" ht="48" customHeight="1">
      <c r="B66" s="43" t="inlineStr">
        <is>
          <t>If you listed time under Other, please explain:</t>
        </is>
      </c>
      <c r="C66" s="44" t="n"/>
      <c r="D66" s="28" t="n"/>
      <c r="E66" s="28" t="n"/>
      <c r="F66" t="n">
        <v>1</v>
      </c>
    </row>
    <row r="67" ht="48" customHeight="1">
      <c r="B67" s="43" t="inlineStr">
        <is>
          <t>Which activities take up the MOST time in your week?</t>
        </is>
      </c>
      <c r="C67" s="44" t="n"/>
      <c r="D67" s="28" t="n"/>
      <c r="E67" s="28" t="n"/>
      <c r="F67" t="n">
        <v>1</v>
      </c>
    </row>
    <row r="68" ht="48" customHeight="1">
      <c r="B68" s="43" t="inlineStr">
        <is>
          <t>Which activities are currently producing the MOST business for you?</t>
        </is>
      </c>
      <c r="C68" s="44" t="n"/>
      <c r="D68" s="28" t="n"/>
      <c r="E68" s="28" t="n"/>
      <c r="F68" t="n">
        <v>1</v>
      </c>
    </row>
    <row r="69" ht="48" customHeight="1">
      <c r="B69" s="43" t="inlineStr">
        <is>
          <t>What do you feel you are spending too much time doing?</t>
        </is>
      </c>
      <c r="C69" s="44" t="n"/>
      <c r="D69" s="28" t="n"/>
      <c r="E69" s="28" t="n"/>
      <c r="F69" t="n">
        <v>1</v>
      </c>
    </row>
    <row r="70" ht="48" customHeight="1">
      <c r="B70" s="43" t="inlineStr">
        <is>
          <t>What do you feel you are not spending enough time doing?</t>
        </is>
      </c>
      <c r="C70" s="44" t="n"/>
      <c r="D70" s="28" t="n"/>
      <c r="E70" s="28" t="n"/>
      <c r="F70" t="n">
        <v>1</v>
      </c>
    </row>
    <row r="72" ht="24" customHeight="1">
      <c r="A72" s="42" t="inlineStr">
        <is>
          <t>4. HOW DO YOU STRUCTURE YOUR DAY?</t>
        </is>
      </c>
    </row>
    <row r="73">
      <c r="B73" s="43" t="inlineStr">
        <is>
          <t>Do you currently plan your workday in advance?</t>
        </is>
      </c>
      <c r="C73" s="44" t="n"/>
      <c r="D73" s="28" t="n"/>
      <c r="E73" s="28" t="n"/>
      <c r="F73" t="n">
        <v>1</v>
      </c>
    </row>
    <row r="74">
      <c r="B74" s="43" t="inlineStr">
        <is>
          <t>Do you currently use time blocks for specific activities?</t>
        </is>
      </c>
      <c r="C74" s="44" t="n"/>
      <c r="D74" s="28" t="n"/>
      <c r="E74" s="28" t="n"/>
      <c r="F74" t="n">
        <v>1</v>
      </c>
    </row>
    <row r="75">
      <c r="B75" s="43" t="inlineStr">
        <is>
          <t>Do you have a dedicated prospecting period during your day?</t>
        </is>
      </c>
      <c r="C75" s="44" t="n"/>
      <c r="D75" s="28" t="n"/>
      <c r="E75" s="28" t="n"/>
      <c r="F75" t="n">
        <v>1</v>
      </c>
    </row>
    <row r="76">
      <c r="B76" s="43" t="inlineStr">
        <is>
          <t>If yes — typical prospecting time (e.g. 9:00–11:00 AM):</t>
        </is>
      </c>
      <c r="C76" s="44" t="n"/>
      <c r="D76" s="28" t="n"/>
      <c r="E76" s="28" t="n"/>
      <c r="F76" t="n">
        <v>1</v>
      </c>
    </row>
    <row r="77">
      <c r="B77" s="43" t="inlineStr">
        <is>
          <t>If yes — typical length:</t>
        </is>
      </c>
      <c r="C77" s="44" t="n"/>
      <c r="D77" s="28" t="n"/>
      <c r="E77" s="28" t="n"/>
      <c r="F77" t="n">
        <v>1</v>
      </c>
    </row>
    <row r="78" ht="48" customHeight="1">
      <c r="B78" s="43" t="inlineStr">
        <is>
          <t>When do you feel you are most productive during the day?</t>
        </is>
      </c>
      <c r="C78" s="44" t="n"/>
      <c r="D78" s="28" t="n"/>
      <c r="E78" s="28" t="n"/>
      <c r="F78" t="n">
        <v>1</v>
      </c>
    </row>
    <row r="79" ht="48" customHeight="1">
      <c r="B79" s="43" t="inlineStr">
        <is>
          <t>What normally causes your schedule to get off track?</t>
        </is>
      </c>
      <c r="C79" s="44" t="n"/>
      <c r="D79" s="28" t="n"/>
      <c r="E79" s="28" t="n"/>
      <c r="F79" t="n">
        <v>1</v>
      </c>
    </row>
    <row r="80" ht="48" customHeight="1">
      <c r="B80" s="43" t="inlineStr">
        <is>
          <t>What is the first business-producing activity you normally do each day?</t>
        </is>
      </c>
      <c r="C80" s="44" t="n"/>
      <c r="D80" s="28" t="n"/>
      <c r="E80" s="28" t="n"/>
      <c r="F80" t="n">
        <v>1</v>
      </c>
    </row>
    <row r="81" ht="48" customHeight="1">
      <c r="B81" s="43" t="inlineStr">
        <is>
          <t>What usually consumes more time than you intended?</t>
        </is>
      </c>
      <c r="C81" s="44" t="n"/>
      <c r="D81" s="28" t="n"/>
      <c r="E81" s="28" t="n"/>
      <c r="F81" t="n">
        <v>1</v>
      </c>
    </row>
    <row r="83" ht="24" customHeight="1">
      <c r="A83" s="42" t="inlineStr">
        <is>
          <t>5. HOW ARE YOU CURRENTLY GENERATING BUSINESS?</t>
        </is>
      </c>
    </row>
    <row r="84" ht="28" customHeight="1">
      <c r="A84" s="45" t="inlineStr">
        <is>
          <t>Activity level: 0 = Not currently using · 1 = Occasionally · 3 = Consistently · 5 = Major part of my business</t>
        </is>
      </c>
    </row>
    <row r="85">
      <c r="B85" s="46" t="inlineStr">
        <is>
          <t>Business Development Source</t>
        </is>
      </c>
      <c r="C85" s="46" t="inlineStr">
        <is>
          <t>Activity Level 0–5</t>
        </is>
      </c>
      <c r="D85" s="46" t="inlineStr">
        <is>
          <t>Generated a Real Opportunity?</t>
        </is>
      </c>
    </row>
    <row r="86">
      <c r="B86" s="47" t="inlineStr">
        <is>
          <t>Cold Calling Property Owners</t>
        </is>
      </c>
      <c r="C86" s="36" t="n"/>
      <c r="D86" s="36" t="n"/>
      <c r="F86" t="n">
        <v>1</v>
      </c>
    </row>
    <row r="87">
      <c r="B87" s="47" t="inlineStr">
        <is>
          <t>Calling Businesses / Tenants</t>
        </is>
      </c>
      <c r="C87" s="36" t="n"/>
      <c r="D87" s="36" t="n"/>
      <c r="F87" t="n">
        <v>1</v>
      </c>
    </row>
    <row r="88">
      <c r="B88" s="47" t="inlineStr">
        <is>
          <t>Sphere of Influence</t>
        </is>
      </c>
      <c r="C88" s="36" t="n"/>
      <c r="D88" s="36" t="n"/>
      <c r="F88" t="n">
        <v>1</v>
      </c>
    </row>
    <row r="89">
      <c r="B89" s="47" t="inlineStr">
        <is>
          <t>Past Clients</t>
        </is>
      </c>
      <c r="C89" s="36" t="n"/>
      <c r="D89" s="36" t="n"/>
      <c r="F89" t="n">
        <v>1</v>
      </c>
    </row>
    <row r="90">
      <c r="B90" s="47" t="inlineStr">
        <is>
          <t>Current Clients</t>
        </is>
      </c>
      <c r="C90" s="36" t="n"/>
      <c r="D90" s="36" t="n"/>
      <c r="F90" t="n">
        <v>1</v>
      </c>
    </row>
    <row r="91">
      <c r="B91" s="47" t="inlineStr">
        <is>
          <t>KW Residential Agent Referrals</t>
        </is>
      </c>
      <c r="C91" s="36" t="n"/>
      <c r="D91" s="36" t="n"/>
      <c r="F91" t="n">
        <v>1</v>
      </c>
    </row>
    <row r="92">
      <c r="B92" s="47" t="inlineStr">
        <is>
          <t>KW Commercial Referrals</t>
        </is>
      </c>
      <c r="C92" s="36" t="n"/>
      <c r="D92" s="36" t="n"/>
      <c r="F92" t="n">
        <v>1</v>
      </c>
    </row>
    <row r="93">
      <c r="B93" s="47" t="inlineStr">
        <is>
          <t>Outside Broker Referrals</t>
        </is>
      </c>
      <c r="C93" s="36" t="n"/>
      <c r="D93" s="36" t="n"/>
      <c r="F93" t="n">
        <v>1</v>
      </c>
    </row>
    <row r="94">
      <c r="B94" s="47" t="inlineStr">
        <is>
          <t>Attorneys</t>
        </is>
      </c>
      <c r="C94" s="36" t="n"/>
      <c r="D94" s="36" t="n"/>
      <c r="F94" t="n">
        <v>1</v>
      </c>
    </row>
    <row r="95">
      <c r="B95" s="47" t="inlineStr">
        <is>
          <t>CPAs / Accountants</t>
        </is>
      </c>
      <c r="C95" s="36" t="n"/>
      <c r="D95" s="36" t="n"/>
      <c r="F95" t="n">
        <v>1</v>
      </c>
    </row>
    <row r="96">
      <c r="B96" s="47" t="inlineStr">
        <is>
          <t>Lenders / Bankers</t>
        </is>
      </c>
      <c r="C96" s="36" t="n"/>
      <c r="D96" s="36" t="n"/>
      <c r="F96" t="n">
        <v>1</v>
      </c>
    </row>
    <row r="97">
      <c r="B97" s="47" t="inlineStr">
        <is>
          <t>Developers / Builders</t>
        </is>
      </c>
      <c r="C97" s="36" t="n"/>
      <c r="D97" s="36" t="n"/>
      <c r="F97" t="n">
        <v>1</v>
      </c>
    </row>
    <row r="98">
      <c r="B98" s="47" t="inlineStr">
        <is>
          <t>Investors</t>
        </is>
      </c>
      <c r="C98" s="36" t="n"/>
      <c r="D98" s="36" t="n"/>
      <c r="F98" t="n">
        <v>1</v>
      </c>
    </row>
    <row r="99">
      <c r="B99" s="47" t="inlineStr">
        <is>
          <t>Business Owners</t>
        </is>
      </c>
      <c r="C99" s="36" t="n"/>
      <c r="D99" s="36" t="n"/>
      <c r="F99" t="n">
        <v>1</v>
      </c>
    </row>
    <row r="100">
      <c r="B100" s="47" t="inlineStr">
        <is>
          <t>Networking Organizations</t>
        </is>
      </c>
      <c r="C100" s="36" t="n"/>
      <c r="D100" s="36" t="n"/>
      <c r="F100" t="n">
        <v>1</v>
      </c>
    </row>
    <row r="101">
      <c r="B101" s="47" t="inlineStr">
        <is>
          <t>Email Campaigns</t>
        </is>
      </c>
      <c r="C101" s="36" t="n"/>
      <c r="D101" s="36" t="n"/>
      <c r="F101" t="n">
        <v>1</v>
      </c>
    </row>
    <row r="102">
      <c r="B102" s="47" t="inlineStr">
        <is>
          <t>Direct Mail</t>
        </is>
      </c>
      <c r="C102" s="36" t="n"/>
      <c r="D102" s="36" t="n"/>
      <c r="F102" t="n">
        <v>1</v>
      </c>
    </row>
    <row r="103">
      <c r="B103" s="47" t="inlineStr">
        <is>
          <t>Social Media / Content</t>
        </is>
      </c>
      <c r="C103" s="36" t="n"/>
      <c r="D103" s="36" t="n"/>
      <c r="F103" t="n">
        <v>1</v>
      </c>
    </row>
    <row r="104">
      <c r="B104" s="47" t="inlineStr">
        <is>
          <t>Crexi / Online Platforms</t>
        </is>
      </c>
      <c r="C104" s="36" t="n"/>
      <c r="D104" s="36" t="n"/>
      <c r="F104" t="n">
        <v>1</v>
      </c>
    </row>
    <row r="105">
      <c r="B105" s="47" t="inlineStr">
        <is>
          <t>Database / CRM Follow-Up</t>
        </is>
      </c>
      <c r="C105" s="36" t="n"/>
      <c r="D105" s="36" t="n"/>
      <c r="F105" t="n">
        <v>1</v>
      </c>
    </row>
    <row r="106">
      <c r="B106" s="47" t="inlineStr">
        <is>
          <t>Property Visits / Canvassing</t>
        </is>
      </c>
      <c r="C106" s="36" t="n"/>
      <c r="D106" s="36" t="n"/>
      <c r="F106" t="n">
        <v>1</v>
      </c>
    </row>
    <row r="107">
      <c r="B107" s="47" t="inlineStr">
        <is>
          <t>Market Center Relationships</t>
        </is>
      </c>
      <c r="C107" s="36" t="n"/>
      <c r="D107" s="36" t="n"/>
      <c r="F107" t="n">
        <v>1</v>
      </c>
    </row>
    <row r="108">
      <c r="B108" s="47" t="inlineStr">
        <is>
          <t>Other</t>
        </is>
      </c>
      <c r="C108" s="36" t="n"/>
      <c r="D108" s="36" t="n"/>
      <c r="F108" t="n">
        <v>1</v>
      </c>
    </row>
    <row r="109" ht="48" customHeight="1">
      <c r="B109" s="43" t="inlineStr">
        <is>
          <t>If Other, please explain:</t>
        </is>
      </c>
      <c r="C109" s="44" t="n"/>
      <c r="D109" s="28" t="n"/>
      <c r="E109" s="28" t="n"/>
      <c r="F109" t="n">
        <v>1</v>
      </c>
    </row>
    <row r="110" ht="48" customHeight="1">
      <c r="B110" s="43" t="inlineStr">
        <is>
          <t>What are currently your TOP THREE sources of business?</t>
        </is>
      </c>
      <c r="C110" s="44" t="n"/>
      <c r="D110" s="28" t="n"/>
      <c r="E110" s="28" t="n"/>
      <c r="F110" t="n">
        <v>1</v>
      </c>
    </row>
    <row r="111" ht="48" customHeight="1">
      <c r="B111" s="43" t="inlineStr">
        <is>
          <t>Which one has produced the most actual opportunities or transactions?</t>
        </is>
      </c>
      <c r="C111" s="44" t="n"/>
      <c r="D111" s="28" t="n"/>
      <c r="E111" s="28" t="n"/>
      <c r="F111" t="n">
        <v>1</v>
      </c>
    </row>
    <row r="112" ht="48" customHeight="1">
      <c r="B112" s="43" t="inlineStr">
        <is>
          <t>Which business-development channel do you believe you should be using more?</t>
        </is>
      </c>
      <c r="C112" s="44" t="n"/>
      <c r="D112" s="28" t="n"/>
      <c r="E112" s="28" t="n"/>
      <c r="F112" t="n">
        <v>1</v>
      </c>
    </row>
    <row r="114" ht="24" customHeight="1">
      <c r="A114" s="42" t="inlineStr">
        <is>
          <t>6. YOUR MARKET CENTER</t>
        </is>
      </c>
    </row>
    <row r="115" ht="48" customHeight="1">
      <c r="B115" s="43" t="inlineStr">
        <is>
          <t>How have you been developing relationships within your Market Center?</t>
        </is>
      </c>
      <c r="C115" s="44" t="n"/>
      <c r="D115" s="28" t="n"/>
      <c r="E115" s="28" t="n"/>
      <c r="F115" t="n">
        <v>1</v>
      </c>
    </row>
    <row r="116">
      <c r="B116" s="43" t="inlineStr">
        <is>
          <t>How many residential agents in your Market Center know that you handle commercial real estate?</t>
        </is>
      </c>
      <c r="C116" s="44" t="n"/>
      <c r="D116" s="28" t="n"/>
      <c r="E116" s="28" t="n"/>
      <c r="F116" t="n">
        <v>1</v>
      </c>
    </row>
    <row r="117">
      <c r="B117" s="48" t="inlineStr">
        <is>
          <t>What have you done to generate commercial referrals from your Market Center?  (select Yes for all that apply)</t>
        </is>
      </c>
    </row>
    <row r="118">
      <c r="B118" s="47" t="inlineStr">
        <is>
          <t xml:space="preserve">      Introduced myself individually to agents</t>
        </is>
      </c>
      <c r="C118" s="36" t="n"/>
    </row>
    <row r="119">
      <c r="B119" s="47" t="inlineStr">
        <is>
          <t xml:space="preserve">      Attended team/office meetings</t>
        </is>
      </c>
      <c r="C119" s="36" t="n"/>
    </row>
    <row r="120">
      <c r="B120" s="47" t="inlineStr">
        <is>
          <t xml:space="preserve">      Given commercial real estate presentations</t>
        </is>
      </c>
      <c r="C120" s="36" t="n"/>
    </row>
    <row r="121">
      <c r="B121" s="47" t="inlineStr">
        <is>
          <t xml:space="preserve">      Shared commercial opportunities/listings</t>
        </is>
      </c>
      <c r="C121" s="36" t="n"/>
    </row>
    <row r="122">
      <c r="B122" s="47" t="inlineStr">
        <is>
          <t xml:space="preserve">      Asked agents directly for referrals</t>
        </is>
      </c>
      <c r="C122" s="36" t="n"/>
    </row>
    <row r="123">
      <c r="B123" s="47" t="inlineStr">
        <is>
          <t xml:space="preserve">      Helped agents with commercial questions</t>
        </is>
      </c>
      <c r="C123" s="36" t="n"/>
    </row>
    <row r="124">
      <c r="B124" s="47" t="inlineStr">
        <is>
          <t xml:space="preserve">      Developed relationships with leadership</t>
        </is>
      </c>
      <c r="C124" s="36" t="n"/>
    </row>
    <row r="125">
      <c r="B125" s="47" t="inlineStr">
        <is>
          <t xml:space="preserve">      Participated in office events</t>
        </is>
      </c>
      <c r="C125" s="36" t="n"/>
    </row>
    <row r="126">
      <c r="B126" s="47" t="inlineStr">
        <is>
          <t xml:space="preserve">      Sent emails/newsletters to agents</t>
        </is>
      </c>
      <c r="C126" s="36" t="n"/>
    </row>
    <row r="127">
      <c r="B127" s="47" t="inlineStr">
        <is>
          <t xml:space="preserve">      Shared CRE educational content</t>
        </is>
      </c>
      <c r="C127" s="36" t="n"/>
    </row>
    <row r="128">
      <c r="B128" s="47" t="inlineStr">
        <is>
          <t xml:space="preserve">      Nothing consistently yet</t>
        </is>
      </c>
      <c r="C128" s="36" t="n"/>
    </row>
    <row r="129">
      <c r="B129" s="47" t="inlineStr">
        <is>
          <t xml:space="preserve">      Other (describe →)</t>
        </is>
      </c>
      <c r="C129" s="36" t="n"/>
      <c r="D129" s="28" t="n"/>
    </row>
    <row r="130">
      <c r="B130" s="43" t="inlineStr">
        <is>
          <t>Meaningful conversations with Market Center agents in a typical month:</t>
        </is>
      </c>
      <c r="C130" s="44" t="n"/>
      <c r="D130" s="28" t="n"/>
      <c r="E130" s="28" t="n"/>
      <c r="F130" t="n">
        <v>1</v>
      </c>
    </row>
    <row r="131">
      <c r="B131" s="43" t="inlineStr">
        <is>
          <t>Commercial referrals received from your Market Center in the past 90 days:</t>
        </is>
      </c>
      <c r="C131" s="44" t="n"/>
      <c r="D131" s="28" t="n"/>
      <c r="E131" s="28" t="n"/>
      <c r="F131" t="n">
        <v>1</v>
      </c>
    </row>
    <row r="132" ht="48" customHeight="1">
      <c r="B132" s="43" t="inlineStr">
        <is>
          <t>What could you do differently over the next 90 days to become the commercial resource within your office?</t>
        </is>
      </c>
      <c r="C132" s="44" t="n"/>
      <c r="D132" s="28" t="n"/>
      <c r="E132" s="28" t="n"/>
      <c r="F132" t="n">
        <v>1</v>
      </c>
    </row>
    <row r="134" ht="24" customHeight="1">
      <c r="A134" s="42" t="inlineStr">
        <is>
          <t>7. YOUR SPHERE OF INFLUENCE</t>
        </is>
      </c>
    </row>
    <row r="135">
      <c r="B135" s="48" t="inlineStr">
        <is>
          <t>Who currently knows that you work in commercial real estate?  (select Yes for all that apply)</t>
        </is>
      </c>
    </row>
    <row r="136">
      <c r="B136" s="47" t="inlineStr">
        <is>
          <t xml:space="preserve">      Friends / Family</t>
        </is>
      </c>
      <c r="C136" s="36" t="n"/>
    </row>
    <row r="137">
      <c r="B137" s="47" t="inlineStr">
        <is>
          <t xml:space="preserve">      Former Clients</t>
        </is>
      </c>
      <c r="C137" s="36" t="n"/>
    </row>
    <row r="138">
      <c r="B138" s="47" t="inlineStr">
        <is>
          <t xml:space="preserve">      Residential Clients</t>
        </is>
      </c>
      <c r="C138" s="36" t="n"/>
    </row>
    <row r="139">
      <c r="B139" s="47" t="inlineStr">
        <is>
          <t xml:space="preserve">      Business Owners</t>
        </is>
      </c>
      <c r="C139" s="36" t="n"/>
    </row>
    <row r="140">
      <c r="B140" s="47" t="inlineStr">
        <is>
          <t xml:space="preserve">      Investors</t>
        </is>
      </c>
      <c r="C140" s="36" t="n"/>
    </row>
    <row r="141">
      <c r="B141" s="47" t="inlineStr">
        <is>
          <t xml:space="preserve">      Attorneys</t>
        </is>
      </c>
      <c r="C141" s="36" t="n"/>
    </row>
    <row r="142">
      <c r="B142" s="47" t="inlineStr">
        <is>
          <t xml:space="preserve">      CPAs</t>
        </is>
      </c>
      <c r="C142" s="36" t="n"/>
    </row>
    <row r="143">
      <c r="B143" s="47" t="inlineStr">
        <is>
          <t xml:space="preserve">      Lenders</t>
        </is>
      </c>
      <c r="C143" s="36" t="n"/>
    </row>
    <row r="144">
      <c r="B144" s="47" t="inlineStr">
        <is>
          <t xml:space="preserve">      Developers</t>
        </is>
      </c>
      <c r="C144" s="36" t="n"/>
    </row>
    <row r="145">
      <c r="B145" s="47" t="inlineStr">
        <is>
          <t xml:space="preserve">      Contractors</t>
        </is>
      </c>
      <c r="C145" s="36" t="n"/>
    </row>
    <row r="146">
      <c r="B146" s="47" t="inlineStr">
        <is>
          <t xml:space="preserve">      Other Brokers</t>
        </is>
      </c>
      <c r="C146" s="36" t="n"/>
    </row>
    <row r="147">
      <c r="B147" s="47" t="inlineStr">
        <is>
          <t xml:space="preserve">      Community Organizations</t>
        </is>
      </c>
      <c r="C147" s="36" t="n"/>
    </row>
    <row r="148">
      <c r="B148" s="47" t="inlineStr">
        <is>
          <t xml:space="preserve">      Other (describe →)</t>
        </is>
      </c>
      <c r="C148" s="36" t="n"/>
      <c r="D148" s="28" t="n"/>
    </row>
    <row r="149">
      <c r="B149" s="43" t="inlineStr">
        <is>
          <t>Approximately how many people are part of your professional sphere today?</t>
        </is>
      </c>
      <c r="C149" s="44" t="n"/>
      <c r="D149" s="28" t="n"/>
      <c r="E149" s="28" t="n"/>
      <c r="F149" t="n">
        <v>1</v>
      </c>
    </row>
    <row r="150">
      <c r="B150" s="43" t="inlineStr">
        <is>
          <t>How often are you intentionally communicating with your sphere?</t>
        </is>
      </c>
      <c r="C150" s="44" t="n"/>
      <c r="D150" s="28" t="n"/>
      <c r="E150" s="28" t="n"/>
      <c r="F150" t="n">
        <v>1</v>
      </c>
    </row>
    <row r="151" ht="48" customHeight="1">
      <c r="B151" s="43" t="inlineStr">
        <is>
          <t>What are you currently doing to grow your sphere?</t>
        </is>
      </c>
      <c r="C151" s="44" t="n"/>
      <c r="D151" s="28" t="n"/>
      <c r="E151" s="28" t="n"/>
      <c r="F151" t="n">
        <v>1</v>
      </c>
    </row>
    <row r="152" ht="48" customHeight="1">
      <c r="B152" s="43" t="inlineStr">
        <is>
          <t>Five people or categories of people you should be building stronger relationships with:</t>
        </is>
      </c>
      <c r="C152" s="44" t="n"/>
      <c r="D152" s="28" t="n"/>
      <c r="E152" s="28" t="n"/>
      <c r="F152" t="n">
        <v>1</v>
      </c>
    </row>
    <row r="154" ht="24" customHeight="1">
      <c r="A154" s="42" t="inlineStr">
        <is>
          <t>8. MARKET &amp; PRODUCT FOCUS</t>
        </is>
      </c>
    </row>
    <row r="155">
      <c r="B155" s="43" t="inlineStr">
        <is>
          <t>Do you currently have a defined commercial real estate focus?</t>
        </is>
      </c>
      <c r="C155" s="44" t="n"/>
      <c r="D155" s="28" t="n"/>
      <c r="E155" s="28" t="n"/>
      <c r="F155" t="n">
        <v>1</v>
      </c>
    </row>
    <row r="156">
      <c r="B156" s="43" t="inlineStr">
        <is>
          <t>Are you focusing on a particular geographic area?</t>
        </is>
      </c>
      <c r="C156" s="44" t="n"/>
      <c r="D156" s="28" t="n"/>
      <c r="E156" s="28" t="n"/>
      <c r="F156" t="n">
        <v>1</v>
      </c>
    </row>
    <row r="157">
      <c r="B157" s="43" t="inlineStr">
        <is>
          <t>Primary Market:</t>
        </is>
      </c>
      <c r="C157" s="44" t="n"/>
      <c r="D157" s="28" t="n"/>
      <c r="E157" s="28" t="n"/>
      <c r="F157" t="n">
        <v>1</v>
      </c>
    </row>
    <row r="158">
      <c r="B158" s="43" t="inlineStr">
        <is>
          <t>Secondary Market:</t>
        </is>
      </c>
      <c r="C158" s="44" t="n"/>
      <c r="D158" s="28" t="n"/>
      <c r="E158" s="28" t="n"/>
      <c r="F158" t="n">
        <v>1</v>
      </c>
    </row>
    <row r="159" ht="48" customHeight="1">
      <c r="B159" s="43" t="inlineStr">
        <is>
          <t>Specific submarkets / corridors / neighborhoods:</t>
        </is>
      </c>
      <c r="C159" s="44" t="n"/>
      <c r="D159" s="28" t="n"/>
      <c r="E159" s="28" t="n"/>
      <c r="F159" t="n">
        <v>1</v>
      </c>
    </row>
    <row r="160">
      <c r="B160" s="48" t="inlineStr">
        <is>
          <t>Which property types are you currently pursuing?  (select Yes for all that apply)</t>
        </is>
      </c>
    </row>
    <row r="161">
      <c r="B161" s="47" t="inlineStr">
        <is>
          <t xml:space="preserve">      Retail</t>
        </is>
      </c>
      <c r="C161" s="36" t="n"/>
    </row>
    <row r="162">
      <c r="B162" s="47" t="inlineStr">
        <is>
          <t xml:space="preserve">      Office</t>
        </is>
      </c>
      <c r="C162" s="36" t="n"/>
    </row>
    <row r="163">
      <c r="B163" s="47" t="inlineStr">
        <is>
          <t xml:space="preserve">      Industrial</t>
        </is>
      </c>
      <c r="C163" s="36" t="n"/>
    </row>
    <row r="164">
      <c r="B164" s="47" t="inlineStr">
        <is>
          <t xml:space="preserve">      Land</t>
        </is>
      </c>
      <c r="C164" s="36" t="n"/>
    </row>
    <row r="165">
      <c r="B165" s="47" t="inlineStr">
        <is>
          <t xml:space="preserve">      Multifamily</t>
        </is>
      </c>
      <c r="C165" s="36" t="n"/>
    </row>
    <row r="166">
      <c r="B166" s="47" t="inlineStr">
        <is>
          <t xml:space="preserve">      Medical / Healthcare</t>
        </is>
      </c>
      <c r="C166" s="36" t="n"/>
    </row>
    <row r="167">
      <c r="B167" s="47" t="inlineStr">
        <is>
          <t xml:space="preserve">      Hospitality</t>
        </is>
      </c>
      <c r="C167" s="36" t="n"/>
    </row>
    <row r="168">
      <c r="B168" s="47" t="inlineStr">
        <is>
          <t xml:space="preserve">      Investment Sales</t>
        </is>
      </c>
      <c r="C168" s="36" t="n"/>
    </row>
    <row r="169">
      <c r="B169" s="47" t="inlineStr">
        <is>
          <t xml:space="preserve">      Development</t>
        </is>
      </c>
      <c r="C169" s="36" t="n"/>
    </row>
    <row r="170">
      <c r="B170" s="47" t="inlineStr">
        <is>
          <t xml:space="preserve">      Business Brokerage</t>
        </is>
      </c>
      <c r="C170" s="36" t="n"/>
    </row>
    <row r="171">
      <c r="B171" s="47" t="inlineStr">
        <is>
          <t xml:space="preserve">      Other (describe →)</t>
        </is>
      </c>
      <c r="C171" s="36" t="n"/>
      <c r="D171" s="28" t="n"/>
    </row>
    <row r="172" ht="48" customHeight="1">
      <c r="B172" s="43" t="inlineStr">
        <is>
          <t>Which ONE or TWO areas would you most like to become known for?</t>
        </is>
      </c>
      <c r="C172" s="44" t="n"/>
      <c r="D172" s="28" t="n"/>
      <c r="E172" s="28" t="n"/>
      <c r="F172" t="n">
        <v>1</v>
      </c>
    </row>
    <row r="173" ht="48" customHeight="1">
      <c r="B173" s="43" t="inlineStr">
        <is>
          <t>If someone asked you today, “What type of commercial real estate do you specialize in?” what would you say?</t>
        </is>
      </c>
      <c r="C173" s="44" t="n"/>
      <c r="D173" s="28" t="n"/>
      <c r="E173" s="28" t="n"/>
      <c r="F173" t="n">
        <v>1</v>
      </c>
    </row>
    <row r="174" ht="48" customHeight="1">
      <c r="B174" s="43" t="inlineStr">
        <is>
          <t>Do you feel confident saying that? Why or why not?</t>
        </is>
      </c>
      <c r="C174" s="44" t="n"/>
      <c r="D174" s="28" t="n"/>
      <c r="E174" s="28" t="n"/>
      <c r="F174" t="n">
        <v>1</v>
      </c>
    </row>
    <row r="176" ht="24" customHeight="1">
      <c r="A176" s="42" t="inlineStr">
        <is>
          <t>9. CURRENT COMMERCIAL PIPELINE</t>
        </is>
      </c>
    </row>
    <row r="177" ht="28" customHeight="1">
      <c r="A177" s="45" t="inlineStr">
        <is>
          <t>Do your best. Exact numbers are not required.</t>
        </is>
      </c>
    </row>
    <row r="178">
      <c r="B178" s="46" t="inlineStr">
        <is>
          <t>Category</t>
        </is>
      </c>
      <c r="C178" s="46" t="inlineStr">
        <is>
          <t>#</t>
        </is>
      </c>
      <c r="D178" s="46" t="inlineStr">
        <is>
          <t>Approx. Transaction Volume</t>
        </is>
      </c>
      <c r="E178" s="46" t="inlineStr">
        <is>
          <t>Potential GCI</t>
        </is>
      </c>
    </row>
    <row r="179">
      <c r="B179" s="47" t="inlineStr">
        <is>
          <t>Active Listings</t>
        </is>
      </c>
      <c r="C179" s="36" t="n"/>
      <c r="D179" s="37" t="n"/>
      <c r="E179" s="37" t="n"/>
      <c r="F179" t="n">
        <v>1</v>
      </c>
    </row>
    <row r="180">
      <c r="B180" s="47" t="inlineStr">
        <is>
          <t>Buyer Assignments</t>
        </is>
      </c>
      <c r="C180" s="36" t="n"/>
      <c r="D180" s="37" t="n"/>
      <c r="E180" s="37" t="n"/>
      <c r="F180" t="n">
        <v>1</v>
      </c>
    </row>
    <row r="181">
      <c r="B181" s="47" t="inlineStr">
        <is>
          <t>Tenant Representation</t>
        </is>
      </c>
      <c r="C181" s="36" t="n"/>
      <c r="D181" s="37" t="n"/>
      <c r="E181" s="37" t="n"/>
      <c r="F181" t="n">
        <v>1</v>
      </c>
    </row>
    <row r="182">
      <c r="B182" s="47" t="inlineStr">
        <is>
          <t>Landlord Representation</t>
        </is>
      </c>
      <c r="C182" s="36" t="n"/>
      <c r="D182" s="37" t="n"/>
      <c r="E182" s="37" t="n"/>
      <c r="F182" t="n">
        <v>1</v>
      </c>
    </row>
    <row r="183">
      <c r="B183" s="47" t="inlineStr">
        <is>
          <t>Active LOIs</t>
        </is>
      </c>
      <c r="C183" s="36" t="n"/>
      <c r="D183" s="37" t="n"/>
      <c r="E183" s="37" t="n"/>
      <c r="F183" t="n">
        <v>1</v>
      </c>
    </row>
    <row r="184">
      <c r="B184" s="47" t="inlineStr">
        <is>
          <t>Under Contract</t>
        </is>
      </c>
      <c r="C184" s="36" t="n"/>
      <c r="D184" s="37" t="n"/>
      <c r="E184" s="37" t="n"/>
      <c r="F184" t="n">
        <v>1</v>
      </c>
    </row>
    <row r="185">
      <c r="B185" s="47" t="inlineStr">
        <is>
          <t>Qualified Prospects</t>
        </is>
      </c>
      <c r="C185" s="36" t="n"/>
      <c r="D185" s="37" t="n"/>
      <c r="E185" s="37" t="n"/>
      <c r="F185" t="n">
        <v>1</v>
      </c>
    </row>
    <row r="186">
      <c r="B186" s="47" t="inlineStr">
        <is>
          <t>Early-Stage Opportunities</t>
        </is>
      </c>
      <c r="C186" s="36" t="n"/>
      <c r="D186" s="37" t="n"/>
      <c r="E186" s="37" t="n"/>
      <c r="F186" t="n">
        <v>1</v>
      </c>
    </row>
    <row r="187">
      <c r="B187" s="49" t="inlineStr">
        <is>
          <t>TOTAL</t>
        </is>
      </c>
      <c r="C187" s="50">
        <f>SUM(C179:C186)</f>
        <v/>
      </c>
      <c r="D187" s="55">
        <f>SUM(D179:D186)</f>
        <v/>
      </c>
      <c r="E187" s="55">
        <f>SUM(E179:E186)</f>
        <v/>
      </c>
    </row>
    <row r="188">
      <c r="B188" s="43" t="inlineStr">
        <is>
          <t>New commercial opportunities created in the last 30 days:</t>
        </is>
      </c>
      <c r="C188" s="44" t="n"/>
      <c r="D188" s="28" t="n"/>
      <c r="E188" s="28" t="n"/>
      <c r="F188" t="n">
        <v>1</v>
      </c>
    </row>
    <row r="189">
      <c r="B189" s="43" t="inlineStr">
        <is>
          <t>Prospect/client meetings in the last 30 days:</t>
        </is>
      </c>
      <c r="C189" s="44" t="n"/>
      <c r="D189" s="28" t="n"/>
      <c r="E189" s="28" t="n"/>
      <c r="F189" t="n">
        <v>1</v>
      </c>
    </row>
    <row r="190">
      <c r="B190" s="43" t="inlineStr">
        <is>
          <t>New people added to your commercial database in the last 30 days:</t>
        </is>
      </c>
      <c r="C190" s="44" t="n"/>
      <c r="D190" s="28" t="n"/>
      <c r="E190" s="28" t="n"/>
      <c r="F190" t="n">
        <v>1</v>
      </c>
    </row>
    <row r="191">
      <c r="B191" s="43" t="inlineStr">
        <is>
          <t>How many follow-ups are currently outstanding? (number or “Unsure”)</t>
        </is>
      </c>
      <c r="C191" s="44" t="n"/>
      <c r="D191" s="28" t="n"/>
      <c r="E191" s="28" t="n"/>
      <c r="F191" t="n">
        <v>1</v>
      </c>
    </row>
    <row r="192">
      <c r="B192" s="43" t="inlineStr">
        <is>
          <t>Do you currently know what your commercial pipeline is worth in potential GCI?</t>
        </is>
      </c>
      <c r="C192" s="44" t="n"/>
      <c r="D192" s="28" t="n"/>
      <c r="E192" s="28" t="n"/>
      <c r="F192" t="n">
        <v>1</v>
      </c>
    </row>
    <row r="194" ht="24" customHeight="1">
      <c r="A194" s="42" t="inlineStr">
        <is>
          <t>10. SKILLS &amp; CONFIDENCE ASSESSMENT</t>
        </is>
      </c>
    </row>
    <row r="195" ht="28" customHeight="1">
      <c r="A195" s="45" t="inlineStr">
        <is>
          <t>Rate yourself honestly.  1 = Need substantial help · 3 = Comfortable · 5 = Strong enough to teach someone else</t>
        </is>
      </c>
    </row>
    <row r="196">
      <c r="B196" s="46" t="inlineStr">
        <is>
          <t>Area</t>
        </is>
      </c>
      <c r="C196" s="46" t="inlineStr">
        <is>
          <t>Score 1–5</t>
        </is>
      </c>
    </row>
    <row r="197">
      <c r="B197" s="47" t="inlineStr">
        <is>
          <t>Cold Calling</t>
        </is>
      </c>
      <c r="C197" s="36" t="n"/>
      <c r="F197" t="n">
        <v>1</v>
      </c>
    </row>
    <row r="198">
      <c r="B198" s="47" t="inlineStr">
        <is>
          <t>Prospecting</t>
        </is>
      </c>
      <c r="C198" s="36" t="n"/>
      <c r="F198" t="n">
        <v>1</v>
      </c>
    </row>
    <row r="199">
      <c r="B199" s="47" t="inlineStr">
        <is>
          <t>Building Prospect Lists</t>
        </is>
      </c>
      <c r="C199" s="36" t="n"/>
      <c r="F199" t="n">
        <v>1</v>
      </c>
    </row>
    <row r="200">
      <c r="B200" s="47" t="inlineStr">
        <is>
          <t>Getting Decision Makers on the Phone</t>
        </is>
      </c>
      <c r="C200" s="36" t="n"/>
      <c r="F200" t="n">
        <v>1</v>
      </c>
    </row>
    <row r="201">
      <c r="B201" s="47" t="inlineStr">
        <is>
          <t>Converting Conversations into Meetings</t>
        </is>
      </c>
      <c r="C201" s="36" t="n"/>
      <c r="F201" t="n">
        <v>1</v>
      </c>
    </row>
    <row r="202">
      <c r="B202" s="47" t="inlineStr">
        <is>
          <t>Discovery Meetings</t>
        </is>
      </c>
      <c r="C202" s="36" t="n"/>
      <c r="F202" t="n">
        <v>1</v>
      </c>
    </row>
    <row r="203">
      <c r="B203" s="47" t="inlineStr">
        <is>
          <t>Listing Presentations</t>
        </is>
      </c>
      <c r="C203" s="36" t="n"/>
      <c r="F203" t="n">
        <v>1</v>
      </c>
    </row>
    <row r="204">
      <c r="B204" s="47" t="inlineStr">
        <is>
          <t>Buyer / Tenant Presentations</t>
        </is>
      </c>
      <c r="C204" s="36" t="n"/>
      <c r="F204" t="n">
        <v>1</v>
      </c>
    </row>
    <row r="205">
      <c r="B205" s="47" t="inlineStr">
        <is>
          <t>Market Research</t>
        </is>
      </c>
      <c r="C205" s="36" t="n"/>
      <c r="F205" t="n">
        <v>1</v>
      </c>
    </row>
    <row r="206">
      <c r="B206" s="47" t="inlineStr">
        <is>
          <t>Land id</t>
        </is>
      </c>
      <c r="C206" s="36" t="n"/>
      <c r="F206" t="n">
        <v>1</v>
      </c>
    </row>
    <row r="207">
      <c r="B207" s="47" t="inlineStr">
        <is>
          <t>Crexi</t>
        </is>
      </c>
      <c r="C207" s="36" t="n"/>
      <c r="F207" t="n">
        <v>1</v>
      </c>
    </row>
    <row r="208">
      <c r="B208" s="47" t="inlineStr">
        <is>
          <t>GIS</t>
        </is>
      </c>
      <c r="C208" s="36" t="n"/>
      <c r="F208" t="n">
        <v>1</v>
      </c>
    </row>
    <row r="209">
      <c r="B209" s="47" t="inlineStr">
        <is>
          <t>CRM / Database Management</t>
        </is>
      </c>
      <c r="C209" s="36" t="n"/>
      <c r="F209" t="n">
        <v>1</v>
      </c>
    </row>
    <row r="210">
      <c r="B210" s="47" t="inlineStr">
        <is>
          <t>Financial Underwriting</t>
        </is>
      </c>
      <c r="C210" s="36" t="n"/>
      <c r="F210" t="n">
        <v>1</v>
      </c>
    </row>
    <row r="211">
      <c r="B211" s="47" t="inlineStr">
        <is>
          <t>NOI / Cap Rate / Valuation</t>
        </is>
      </c>
      <c r="C211" s="36" t="n"/>
      <c r="F211" t="n">
        <v>1</v>
      </c>
    </row>
    <row r="212">
      <c r="B212" s="47" t="inlineStr">
        <is>
          <t>BOV Preparation</t>
        </is>
      </c>
      <c r="C212" s="36" t="n"/>
      <c r="F212" t="n">
        <v>1</v>
      </c>
    </row>
    <row r="213">
      <c r="B213" s="47" t="inlineStr">
        <is>
          <t>LOIs</t>
        </is>
      </c>
      <c r="C213" s="36" t="n"/>
      <c r="F213" t="n">
        <v>1</v>
      </c>
    </row>
    <row r="214">
      <c r="B214" s="47" t="inlineStr">
        <is>
          <t>Purchase Agreements</t>
        </is>
      </c>
      <c r="C214" s="36" t="n"/>
      <c r="F214" t="n">
        <v>1</v>
      </c>
    </row>
    <row r="215">
      <c r="B215" s="47" t="inlineStr">
        <is>
          <t>Commercial Leases</t>
        </is>
      </c>
      <c r="C215" s="36" t="n"/>
      <c r="F215" t="n">
        <v>1</v>
      </c>
    </row>
    <row r="216">
      <c r="B216" s="47" t="inlineStr">
        <is>
          <t>Due Diligence</t>
        </is>
      </c>
      <c r="C216" s="36" t="n"/>
      <c r="F216" t="n">
        <v>1</v>
      </c>
    </row>
    <row r="217">
      <c r="B217" s="47" t="inlineStr">
        <is>
          <t>Negotiation</t>
        </is>
      </c>
      <c r="C217" s="36" t="n"/>
      <c r="F217" t="n">
        <v>1</v>
      </c>
    </row>
    <row r="218">
      <c r="B218" s="47" t="inlineStr">
        <is>
          <t>Deal Management</t>
        </is>
      </c>
      <c r="C218" s="36" t="n"/>
      <c r="F218" t="n">
        <v>1</v>
      </c>
    </row>
    <row r="219">
      <c r="B219" s="47" t="inlineStr">
        <is>
          <t>Client Follow-Up</t>
        </is>
      </c>
      <c r="C219" s="36" t="n"/>
      <c r="F219" t="n">
        <v>1</v>
      </c>
    </row>
    <row r="220">
      <c r="B220" s="47" t="inlineStr">
        <is>
          <t>Networking</t>
        </is>
      </c>
      <c r="C220" s="36" t="n"/>
      <c r="F220" t="n">
        <v>1</v>
      </c>
    </row>
    <row r="221">
      <c r="B221" s="47" t="inlineStr">
        <is>
          <t>Referral Development</t>
        </is>
      </c>
      <c r="C221" s="36" t="n"/>
      <c r="F221" t="n">
        <v>1</v>
      </c>
    </row>
    <row r="222">
      <c r="B222" s="47" t="inlineStr">
        <is>
          <t>AI / ChatGPT</t>
        </is>
      </c>
      <c r="C222" s="36" t="n"/>
      <c r="F222" t="n">
        <v>1</v>
      </c>
    </row>
    <row r="223">
      <c r="B223" s="47" t="inlineStr">
        <is>
          <t>Personal Organization</t>
        </is>
      </c>
      <c r="C223" s="36" t="n"/>
      <c r="F223" t="n">
        <v>1</v>
      </c>
    </row>
    <row r="224">
      <c r="B224" s="47" t="inlineStr">
        <is>
          <t>Time Management</t>
        </is>
      </c>
      <c r="C224" s="36" t="n"/>
      <c r="F224" t="n">
        <v>1</v>
      </c>
    </row>
    <row r="225" ht="48" customHeight="1">
      <c r="B225" s="43" t="inlineStr">
        <is>
          <t>Three areas where you feel strongest:</t>
        </is>
      </c>
      <c r="C225" s="44" t="n"/>
      <c r="D225" s="28" t="n"/>
      <c r="E225" s="28" t="n"/>
      <c r="F225" t="n">
        <v>1</v>
      </c>
    </row>
    <row r="226" ht="48" customHeight="1">
      <c r="B226" s="43" t="inlineStr">
        <is>
          <t>Three areas where you most want help:</t>
        </is>
      </c>
      <c r="C226" s="44" t="n"/>
      <c r="D226" s="28" t="n"/>
      <c r="E226" s="28" t="n"/>
      <c r="F226" t="n">
        <v>1</v>
      </c>
    </row>
    <row r="228" ht="24" customHeight="1">
      <c r="A228" s="42" t="inlineStr">
        <is>
          <t>11. PAIN POINTS &amp; AREAS FOR IMPROVEMENT</t>
        </is>
      </c>
    </row>
    <row r="229">
      <c r="B229" s="48" t="inlineStr">
        <is>
          <t>What do you believe is currently preventing you from growing faster?  (select Yes for all that apply)</t>
        </is>
      </c>
    </row>
    <row r="230">
      <c r="B230" s="47" t="inlineStr">
        <is>
          <t xml:space="preserve">      Not enough prospecting</t>
        </is>
      </c>
      <c r="C230" s="36" t="n"/>
    </row>
    <row r="231">
      <c r="B231" s="47" t="inlineStr">
        <is>
          <t xml:space="preserve">      Difficulty finding prospects</t>
        </is>
      </c>
      <c r="C231" s="36" t="n"/>
    </row>
    <row r="232">
      <c r="B232" s="47" t="inlineStr">
        <is>
          <t xml:space="preserve">      Difficulty making calls</t>
        </is>
      </c>
      <c r="C232" s="36" t="n"/>
    </row>
    <row r="233">
      <c r="B233" s="47" t="inlineStr">
        <is>
          <t xml:space="preserve">      Difficulty converting calls</t>
        </is>
      </c>
      <c r="C233" s="36" t="n"/>
    </row>
    <row r="234">
      <c r="B234" s="47" t="inlineStr">
        <is>
          <t xml:space="preserve">      Follow-up</t>
        </is>
      </c>
      <c r="C234" s="36" t="n"/>
    </row>
    <row r="235">
      <c r="B235" s="47" t="inlineStr">
        <is>
          <t xml:space="preserve">      Time management</t>
        </is>
      </c>
      <c r="C235" s="36" t="n"/>
    </row>
    <row r="236">
      <c r="B236" s="47" t="inlineStr">
        <is>
          <t xml:space="preserve">      Daily structure</t>
        </is>
      </c>
      <c r="C236" s="36" t="n"/>
    </row>
    <row r="237">
      <c r="B237" s="47" t="inlineStr">
        <is>
          <t xml:space="preserve">      Residential business consuming time</t>
        </is>
      </c>
      <c r="C237" s="36" t="n"/>
    </row>
    <row r="238">
      <c r="B238" s="47" t="inlineStr">
        <is>
          <t xml:space="preserve">      Lack of experience</t>
        </is>
      </c>
      <c r="C238" s="36" t="n"/>
    </row>
    <row r="239">
      <c r="B239" s="47" t="inlineStr">
        <is>
          <t xml:space="preserve">      Lack of confidence</t>
        </is>
      </c>
      <c r="C239" s="36" t="n"/>
    </row>
    <row r="240">
      <c r="B240" s="47" t="inlineStr">
        <is>
          <t xml:space="preserve">      Market knowledge</t>
        </is>
      </c>
      <c r="C240" s="36" t="n"/>
    </row>
    <row r="241">
      <c r="B241" s="47" t="inlineStr">
        <is>
          <t xml:space="preserve">      Product knowledge</t>
        </is>
      </c>
      <c r="C241" s="36" t="n"/>
    </row>
    <row r="242">
      <c r="B242" s="47" t="inlineStr">
        <is>
          <t xml:space="preserve">      Financial analysis</t>
        </is>
      </c>
      <c r="C242" s="36" t="n"/>
    </row>
    <row r="243">
      <c r="B243" s="47" t="inlineStr">
        <is>
          <t xml:space="preserve">      Contracts / LOIs</t>
        </is>
      </c>
      <c r="C243" s="36" t="n"/>
    </row>
    <row r="244">
      <c r="B244" s="47" t="inlineStr">
        <is>
          <t xml:space="preserve">      Negotiation</t>
        </is>
      </c>
      <c r="C244" s="36" t="n"/>
    </row>
    <row r="245">
      <c r="B245" s="47" t="inlineStr">
        <is>
          <t xml:space="preserve">      Technology</t>
        </is>
      </c>
      <c r="C245" s="36" t="n"/>
    </row>
    <row r="246">
      <c r="B246" s="47" t="inlineStr">
        <is>
          <t xml:space="preserve">      Marketing</t>
        </is>
      </c>
      <c r="C246" s="36" t="n"/>
    </row>
    <row r="247">
      <c r="B247" s="47" t="inlineStr">
        <is>
          <t xml:space="preserve">      Building a sphere</t>
        </is>
      </c>
      <c r="C247" s="36" t="n"/>
    </row>
    <row r="248">
      <c r="B248" s="47" t="inlineStr">
        <is>
          <t xml:space="preserve">      Market Center relationships</t>
        </is>
      </c>
      <c r="C248" s="36" t="n"/>
    </row>
    <row r="249">
      <c r="B249" s="47" t="inlineStr">
        <is>
          <t xml:space="preserve">      Lack of specialization</t>
        </is>
      </c>
      <c r="C249" s="36" t="n"/>
    </row>
    <row r="250">
      <c r="B250" s="47" t="inlineStr">
        <is>
          <t xml:space="preserve">      Organization / CRM</t>
        </is>
      </c>
      <c r="C250" s="36" t="n"/>
    </row>
    <row r="251">
      <c r="B251" s="47" t="inlineStr">
        <is>
          <t xml:space="preserve">      Accountability</t>
        </is>
      </c>
      <c r="C251" s="36" t="n"/>
    </row>
    <row r="252">
      <c r="B252" s="47" t="inlineStr">
        <is>
          <t xml:space="preserve">      Other (describe →)</t>
        </is>
      </c>
      <c r="C252" s="36" t="n"/>
      <c r="D252" s="28" t="n"/>
    </row>
    <row r="253" ht="48" customHeight="1">
      <c r="B253" s="43" t="inlineStr">
        <is>
          <t>What is your single biggest pain point right now?</t>
        </is>
      </c>
      <c r="C253" s="44" t="n"/>
      <c r="D253" s="28" t="n"/>
      <c r="E253" s="28" t="n"/>
      <c r="F253" t="n">
        <v>1</v>
      </c>
    </row>
    <row r="254" ht="48" customHeight="1">
      <c r="B254" s="43" t="inlineStr">
        <is>
          <t>What is one recurring problem in your business that you would like help solving?</t>
        </is>
      </c>
      <c r="C254" s="44" t="n"/>
      <c r="D254" s="28" t="n"/>
      <c r="E254" s="28" t="n"/>
      <c r="F254" t="n">
        <v>1</v>
      </c>
    </row>
    <row r="255" ht="48" customHeight="1">
      <c r="B255" s="43" t="inlineStr">
        <is>
          <t>What is something you know you should be doing but have not consistently done?</t>
        </is>
      </c>
      <c r="C255" s="44" t="n"/>
      <c r="D255" s="28" t="n"/>
      <c r="E255" s="28" t="n"/>
      <c r="F255" t="n">
        <v>1</v>
      </c>
    </row>
    <row r="257" ht="24" customHeight="1">
      <c r="A257" s="42" t="inlineStr">
        <is>
          <t>12. PRAEDIUM SUPPORT &amp; DEVELOPMENT</t>
        </is>
      </c>
    </row>
    <row r="258">
      <c r="B258" s="46" t="inlineStr">
        <is>
          <t>Area</t>
        </is>
      </c>
      <c r="C258" s="46" t="inlineStr">
        <is>
          <t>Need More Support?</t>
        </is>
      </c>
    </row>
    <row r="259">
      <c r="B259" s="47" t="inlineStr">
        <is>
          <t>Prospecting</t>
        </is>
      </c>
      <c r="C259" s="36" t="n"/>
      <c r="F259" t="n">
        <v>1</v>
      </c>
    </row>
    <row r="260">
      <c r="B260" s="47" t="inlineStr">
        <is>
          <t>Prospect Lists</t>
        </is>
      </c>
      <c r="C260" s="36" t="n"/>
      <c r="F260" t="n">
        <v>1</v>
      </c>
    </row>
    <row r="261">
      <c r="B261" s="47" t="inlineStr">
        <is>
          <t>Market Research</t>
        </is>
      </c>
      <c r="C261" s="36" t="n"/>
      <c r="F261" t="n">
        <v>1</v>
      </c>
    </row>
    <row r="262">
      <c r="B262" s="47" t="inlineStr">
        <is>
          <t>Deal Strategy</t>
        </is>
      </c>
      <c r="C262" s="36" t="n"/>
      <c r="F262" t="n">
        <v>1</v>
      </c>
    </row>
    <row r="263">
      <c r="B263" s="47" t="inlineStr">
        <is>
          <t>Underwriting</t>
        </is>
      </c>
      <c r="C263" s="36" t="n"/>
      <c r="F263" t="n">
        <v>1</v>
      </c>
    </row>
    <row r="264">
      <c r="B264" s="47" t="inlineStr">
        <is>
          <t>Contracts / LOIs</t>
        </is>
      </c>
      <c r="C264" s="36" t="n"/>
      <c r="F264" t="n">
        <v>1</v>
      </c>
    </row>
    <row r="265">
      <c r="B265" s="47" t="inlineStr">
        <is>
          <t>Negotiation</t>
        </is>
      </c>
      <c r="C265" s="36" t="n"/>
      <c r="F265" t="n">
        <v>1</v>
      </c>
    </row>
    <row r="266">
      <c r="B266" s="47" t="inlineStr">
        <is>
          <t>Listing Presentations</t>
        </is>
      </c>
      <c r="C266" s="36" t="n"/>
      <c r="F266" t="n">
        <v>1</v>
      </c>
    </row>
    <row r="267">
      <c r="B267" s="47" t="inlineStr">
        <is>
          <t>Marketing</t>
        </is>
      </c>
      <c r="C267" s="36" t="n"/>
      <c r="F267" t="n">
        <v>1</v>
      </c>
    </row>
    <row r="268">
      <c r="B268" s="47" t="inlineStr">
        <is>
          <t>Technology</t>
        </is>
      </c>
      <c r="C268" s="36" t="n"/>
      <c r="F268" t="n">
        <v>1</v>
      </c>
    </row>
    <row r="269">
      <c r="B269" s="47" t="inlineStr">
        <is>
          <t>CRM</t>
        </is>
      </c>
      <c r="C269" s="36" t="n"/>
      <c r="F269" t="n">
        <v>1</v>
      </c>
    </row>
    <row r="270">
      <c r="B270" s="47" t="inlineStr">
        <is>
          <t>Administrative Support</t>
        </is>
      </c>
      <c r="C270" s="36" t="n"/>
      <c r="F270" t="n">
        <v>1</v>
      </c>
    </row>
    <row r="271">
      <c r="B271" s="47" t="inlineStr">
        <is>
          <t>Joint Meetings / Calls</t>
        </is>
      </c>
      <c r="C271" s="36" t="n"/>
      <c r="F271" t="n">
        <v>1</v>
      </c>
    </row>
    <row r="272">
      <c r="B272" s="47" t="inlineStr">
        <is>
          <t>Mentoring</t>
        </is>
      </c>
      <c r="C272" s="36" t="n"/>
      <c r="F272" t="n">
        <v>1</v>
      </c>
    </row>
    <row r="273">
      <c r="B273" s="47" t="inlineStr">
        <is>
          <t>Accountability</t>
        </is>
      </c>
      <c r="C273" s="36" t="n"/>
      <c r="F273" t="n">
        <v>1</v>
      </c>
    </row>
    <row r="274">
      <c r="B274" s="47" t="inlineStr">
        <is>
          <t>Referrals</t>
        </is>
      </c>
      <c r="C274" s="36" t="n"/>
      <c r="F274" t="n">
        <v>1</v>
      </c>
    </row>
    <row r="275">
      <c r="B275" s="47" t="inlineStr">
        <is>
          <t>Market Center Development</t>
        </is>
      </c>
      <c r="C275" s="36" t="n"/>
      <c r="F275" t="n">
        <v>1</v>
      </c>
    </row>
    <row r="276">
      <c r="B276" s="47" t="inlineStr">
        <is>
          <t>Specialized CRE Training</t>
        </is>
      </c>
      <c r="C276" s="36" t="n"/>
      <c r="F276" t="n">
        <v>1</v>
      </c>
    </row>
    <row r="277" ht="48" customHeight="1">
      <c r="B277" s="43" t="inlineStr">
        <is>
          <t>What could Praedium do that would make the biggest difference in your business?</t>
        </is>
      </c>
      <c r="C277" s="44" t="n"/>
      <c r="D277" s="28" t="n"/>
      <c r="E277" s="28" t="n"/>
      <c r="F277" t="n">
        <v>1</v>
      </c>
    </row>
    <row r="278" ht="48" customHeight="1">
      <c r="B278" s="43" t="inlineStr">
        <is>
          <t>What do you need more of from me personally?</t>
        </is>
      </c>
      <c r="C278" s="44" t="n"/>
      <c r="D278" s="28" t="n"/>
      <c r="E278" s="28" t="n"/>
      <c r="F278" t="n">
        <v>1</v>
      </c>
    </row>
    <row r="279" ht="48" customHeight="1">
      <c r="B279" s="43" t="inlineStr">
        <is>
          <t>What should we be doing as a team that we are currently not doing?</t>
        </is>
      </c>
      <c r="C279" s="44" t="n"/>
      <c r="D279" s="28" t="n"/>
      <c r="E279" s="28" t="n"/>
      <c r="F279" t="n">
        <v>1</v>
      </c>
    </row>
    <row r="280" ht="48" customHeight="1">
      <c r="B280" s="43" t="inlineStr">
        <is>
          <t>What would you most like to learn during our biweekly meetings?</t>
        </is>
      </c>
      <c r="C280" s="44" t="n"/>
      <c r="D280" s="28" t="n"/>
      <c r="E280" s="28" t="n"/>
      <c r="F280" t="n">
        <v>1</v>
      </c>
    </row>
    <row r="282" ht="24" customHeight="1">
      <c r="A282" s="42" t="inlineStr">
        <is>
          <t>13. Q4 GOALS  (Oct 1 – Dec 31)</t>
        </is>
      </c>
    </row>
    <row r="283" ht="28" customHeight="1">
      <c r="A283" s="45" t="inlineStr">
        <is>
          <t>These goals feed your Weekly Scorecard — progress is tracked against them automatically.</t>
        </is>
      </c>
    </row>
    <row r="284">
      <c r="B284" s="43" t="inlineStr">
        <is>
          <t>Commercial Transaction Volume Goal ($)</t>
        </is>
      </c>
      <c r="C284" s="56" t="n"/>
      <c r="D284" s="28" t="n"/>
      <c r="E284" s="28" t="n"/>
      <c r="F284" t="n">
        <v>1</v>
      </c>
    </row>
    <row r="285">
      <c r="B285" s="43" t="inlineStr">
        <is>
          <t>Commercial GCI Goal ($)</t>
        </is>
      </c>
      <c r="C285" s="56" t="n"/>
      <c r="D285" s="28" t="n"/>
      <c r="E285" s="28" t="n"/>
      <c r="F285" t="n">
        <v>1</v>
      </c>
    </row>
    <row r="286">
      <c r="B286" s="43" t="inlineStr">
        <is>
          <t>Number of Closings</t>
        </is>
      </c>
      <c r="C286" s="44" t="n"/>
      <c r="D286" s="28" t="n"/>
      <c r="E286" s="28" t="n"/>
      <c r="F286" t="n">
        <v>1</v>
      </c>
    </row>
    <row r="287">
      <c r="B287" s="43" t="inlineStr">
        <is>
          <t>New Listings</t>
        </is>
      </c>
      <c r="C287" s="44" t="n"/>
      <c r="D287" s="28" t="n"/>
      <c r="E287" s="28" t="n"/>
      <c r="F287" t="n">
        <v>1</v>
      </c>
    </row>
    <row r="288">
      <c r="B288" s="43" t="inlineStr">
        <is>
          <t>New Buyer / Tenant Assignments</t>
        </is>
      </c>
      <c r="C288" s="44" t="n"/>
      <c r="D288" s="28" t="n"/>
      <c r="E288" s="28" t="n"/>
      <c r="F288" t="n">
        <v>1</v>
      </c>
    </row>
    <row r="289">
      <c r="B289" s="43" t="inlineStr">
        <is>
          <t>Qualified Opportunities Created</t>
        </is>
      </c>
      <c r="C289" s="44" t="n"/>
      <c r="D289" s="28" t="n"/>
      <c r="E289" s="28" t="n"/>
      <c r="F289" t="n">
        <v>1</v>
      </c>
    </row>
    <row r="290">
      <c r="B290" s="43" t="inlineStr">
        <is>
          <t>Meetings Per Month</t>
        </is>
      </c>
      <c r="C290" s="44" t="n"/>
      <c r="D290" s="28" t="n"/>
      <c r="E290" s="28" t="n"/>
      <c r="F290" t="n">
        <v>1</v>
      </c>
    </row>
    <row r="291" ht="48" customHeight="1">
      <c r="B291" s="43" t="inlineStr">
        <is>
          <t>The three most important things you want to accomplish before December 31:</t>
        </is>
      </c>
      <c r="C291" s="44" t="n"/>
      <c r="D291" s="28" t="n"/>
      <c r="E291" s="28" t="n"/>
      <c r="F291" t="n">
        <v>1</v>
      </c>
    </row>
    <row r="293" ht="24" customHeight="1">
      <c r="A293" s="42" t="inlineStr">
        <is>
          <t>14. 2027 GOALS</t>
        </is>
      </c>
    </row>
    <row r="294">
      <c r="B294" s="43" t="inlineStr">
        <is>
          <t>2027 Commercial Volume Goal ($)</t>
        </is>
      </c>
      <c r="C294" s="56" t="n"/>
      <c r="D294" s="28" t="n"/>
      <c r="E294" s="28" t="n"/>
      <c r="F294" t="n">
        <v>1</v>
      </c>
    </row>
    <row r="295">
      <c r="B295" s="43" t="inlineStr">
        <is>
          <t>2027 Commercial GCI Goal ($)</t>
        </is>
      </c>
      <c r="C295" s="56" t="n"/>
      <c r="D295" s="28" t="n"/>
      <c r="E295" s="28" t="n"/>
      <c r="F295" t="n">
        <v>1</v>
      </c>
    </row>
    <row r="296">
      <c r="B296" s="43" t="inlineStr">
        <is>
          <t>Transactions Closed</t>
        </is>
      </c>
      <c r="C296" s="44" t="n"/>
      <c r="D296" s="28" t="n"/>
      <c r="E296" s="28" t="n"/>
      <c r="F296" t="n">
        <v>1</v>
      </c>
    </row>
    <row r="297">
      <c r="B297" s="43" t="inlineStr">
        <is>
          <t>Listings Obtained</t>
        </is>
      </c>
      <c r="C297" s="44" t="n"/>
      <c r="D297" s="28" t="n"/>
      <c r="E297" s="28" t="n"/>
      <c r="F297" t="n">
        <v>1</v>
      </c>
    </row>
    <row r="298">
      <c r="B298" s="43" t="inlineStr">
        <is>
          <t>Primary Geography</t>
        </is>
      </c>
      <c r="C298" s="44" t="n"/>
      <c r="D298" s="28" t="n"/>
      <c r="E298" s="28" t="n"/>
      <c r="F298" t="n">
        <v>1</v>
      </c>
    </row>
    <row r="299">
      <c r="B299" s="43" t="inlineStr">
        <is>
          <t>Primary Product Type</t>
        </is>
      </c>
      <c r="C299" s="44" t="n"/>
      <c r="D299" s="28" t="n"/>
      <c r="E299" s="28" t="n"/>
      <c r="F299" t="n">
        <v>1</v>
      </c>
    </row>
    <row r="300">
      <c r="B300" s="43" t="inlineStr">
        <is>
          <t>What % of your business would you LIKE to be commercial by the end of 2027?</t>
        </is>
      </c>
      <c r="C300" s="57" t="n"/>
      <c r="D300" s="28" t="n"/>
      <c r="E300" s="28" t="n"/>
      <c r="F300" t="n">
        <v>1</v>
      </c>
    </row>
    <row r="301" ht="48" customHeight="1">
      <c r="B301" s="43" t="inlineStr">
        <is>
          <t>What would a successful 2027 look like to you?</t>
        </is>
      </c>
      <c r="C301" s="44" t="n"/>
      <c r="D301" s="28" t="n"/>
      <c r="E301" s="28" t="n"/>
      <c r="F301" t="n">
        <v>1</v>
      </c>
    </row>
    <row r="302" ht="48" customHeight="1">
      <c r="B302" s="43" t="inlineStr">
        <is>
          <t>What would need to change between now and then for that to happen?</t>
        </is>
      </c>
      <c r="C302" s="44" t="n"/>
      <c r="D302" s="28" t="n"/>
      <c r="E302" s="28" t="n"/>
      <c r="F302" t="n">
        <v>1</v>
      </c>
    </row>
    <row r="304" ht="24" customHeight="1">
      <c r="A304" s="42" t="inlineStr">
        <is>
          <t>15. YOUR NEXT 90 DAYS</t>
        </is>
      </c>
    </row>
    <row r="305" ht="48" customHeight="1">
      <c r="B305" s="43" t="inlineStr">
        <is>
          <t>One thing I need to STOP doing:</t>
        </is>
      </c>
      <c r="C305" s="44" t="n"/>
      <c r="D305" s="28" t="n"/>
      <c r="E305" s="28" t="n"/>
      <c r="F305" t="n">
        <v>1</v>
      </c>
    </row>
    <row r="306" ht="48" customHeight="1">
      <c r="B306" s="43" t="inlineStr">
        <is>
          <t>One thing I need to START doing:</t>
        </is>
      </c>
      <c r="C306" s="44" t="n"/>
      <c r="D306" s="28" t="n"/>
      <c r="E306" s="28" t="n"/>
      <c r="F306" t="n">
        <v>1</v>
      </c>
    </row>
    <row r="307" ht="48" customHeight="1">
      <c r="B307" s="43" t="inlineStr">
        <is>
          <t>One thing I need to CONTINUE doing:</t>
        </is>
      </c>
      <c r="C307" s="44" t="n"/>
      <c r="D307" s="28" t="n"/>
      <c r="E307" s="28" t="n"/>
      <c r="F307" t="n">
        <v>1</v>
      </c>
    </row>
    <row r="308" ht="48" customHeight="1">
      <c r="B308" s="43" t="inlineStr">
        <is>
          <t>My primary prospecting strategy will be:</t>
        </is>
      </c>
      <c r="C308" s="44" t="n"/>
      <c r="D308" s="28" t="n"/>
      <c r="E308" s="28" t="n"/>
      <c r="F308" t="n">
        <v>1</v>
      </c>
    </row>
    <row r="309" ht="48" customHeight="1">
      <c r="B309" s="43" t="inlineStr">
        <is>
          <t>My primary market / product focus will be:</t>
        </is>
      </c>
      <c r="C309" s="44" t="n"/>
      <c r="D309" s="28" t="n"/>
      <c r="E309" s="28" t="n"/>
      <c r="F309" t="n">
        <v>1</v>
      </c>
    </row>
    <row r="310" ht="48" customHeight="1">
      <c r="B310" s="43" t="inlineStr">
        <is>
          <t>The biggest improvement I want to make over the next 90 days is:</t>
        </is>
      </c>
      <c r="C310" s="44" t="n"/>
      <c r="D310" s="28" t="n"/>
      <c r="E310" s="28" t="n"/>
      <c r="F310" t="n">
        <v>1</v>
      </c>
    </row>
    <row r="311" ht="48" customHeight="1">
      <c r="B311" s="43" t="inlineStr">
        <is>
          <t>One commitment I am making to myself before our next meeting:</t>
        </is>
      </c>
      <c r="C311" s="44" t="n"/>
      <c r="D311" s="28" t="n"/>
      <c r="E311" s="28" t="n"/>
      <c r="F311" t="n">
        <v>1</v>
      </c>
    </row>
  </sheetData>
  <mergeCells count="123">
    <mergeCell ref="C44:E44"/>
    <mergeCell ref="C255:E255"/>
    <mergeCell ref="C80:E80"/>
    <mergeCell ref="A1:E1"/>
    <mergeCell ref="C192:E192"/>
    <mergeCell ref="C51:E51"/>
    <mergeCell ref="C297:E297"/>
    <mergeCell ref="C299:E299"/>
    <mergeCell ref="C7:E7"/>
    <mergeCell ref="A282:E282"/>
    <mergeCell ref="C155:E155"/>
    <mergeCell ref="C307:E307"/>
    <mergeCell ref="C18:E18"/>
    <mergeCell ref="C49:E49"/>
    <mergeCell ref="C285:E285"/>
    <mergeCell ref="A194:E194"/>
    <mergeCell ref="C77:E77"/>
    <mergeCell ref="C157:E157"/>
    <mergeCell ref="C151:E151"/>
    <mergeCell ref="C284:E284"/>
    <mergeCell ref="C74:E74"/>
    <mergeCell ref="A293:E293"/>
    <mergeCell ref="C309:E309"/>
    <mergeCell ref="D148:E148"/>
    <mergeCell ref="C20:E20"/>
    <mergeCell ref="C112:E112"/>
    <mergeCell ref="A83:E83"/>
    <mergeCell ref="C75:E75"/>
    <mergeCell ref="C311:E311"/>
    <mergeCell ref="C130:E130"/>
    <mergeCell ref="C12:E12"/>
    <mergeCell ref="C295:E295"/>
    <mergeCell ref="C46:E46"/>
    <mergeCell ref="C52:E52"/>
    <mergeCell ref="C70:E70"/>
    <mergeCell ref="C159:E159"/>
    <mergeCell ref="C48:E48"/>
    <mergeCell ref="C81:E81"/>
    <mergeCell ref="C38:E38"/>
    <mergeCell ref="C296:E296"/>
    <mergeCell ref="C131:E131"/>
    <mergeCell ref="C298:E298"/>
    <mergeCell ref="A5:E5"/>
    <mergeCell ref="A14:E14"/>
    <mergeCell ref="C116:E116"/>
    <mergeCell ref="C156:E156"/>
    <mergeCell ref="C79:E79"/>
    <mergeCell ref="C73:E73"/>
    <mergeCell ref="D129:E129"/>
    <mergeCell ref="D252:E252"/>
    <mergeCell ref="C302:E302"/>
    <mergeCell ref="A40:E40"/>
    <mergeCell ref="C10:E10"/>
    <mergeCell ref="C16:E16"/>
    <mergeCell ref="C305:E305"/>
    <mergeCell ref="C50:E50"/>
    <mergeCell ref="C173:E173"/>
    <mergeCell ref="C286:E286"/>
    <mergeCell ref="C301:E301"/>
    <mergeCell ref="C9:E9"/>
    <mergeCell ref="A228:E228"/>
    <mergeCell ref="C115:E115"/>
    <mergeCell ref="C300:E300"/>
    <mergeCell ref="C11:E11"/>
    <mergeCell ref="C278:E278"/>
    <mergeCell ref="C287:E287"/>
    <mergeCell ref="C150:E150"/>
    <mergeCell ref="A84:E84"/>
    <mergeCell ref="C158:E158"/>
    <mergeCell ref="C67:E67"/>
    <mergeCell ref="C289:E289"/>
    <mergeCell ref="C190:E190"/>
    <mergeCell ref="D171:E171"/>
    <mergeCell ref="A2:E2"/>
    <mergeCell ref="C69:E69"/>
    <mergeCell ref="C254:E254"/>
    <mergeCell ref="C78:E78"/>
    <mergeCell ref="C6:E6"/>
    <mergeCell ref="C191:E191"/>
    <mergeCell ref="C225:E225"/>
    <mergeCell ref="A72:E72"/>
    <mergeCell ref="A134:E134"/>
    <mergeCell ref="C172:E172"/>
    <mergeCell ref="C306:E306"/>
    <mergeCell ref="A176:E176"/>
    <mergeCell ref="A114:E114"/>
    <mergeCell ref="C226:E226"/>
    <mergeCell ref="A15:E15"/>
    <mergeCell ref="C277:E277"/>
    <mergeCell ref="A257:E257"/>
    <mergeCell ref="A304:E304"/>
    <mergeCell ref="C291:E291"/>
    <mergeCell ref="C43:E43"/>
    <mergeCell ref="C188:E188"/>
    <mergeCell ref="C76:E76"/>
    <mergeCell ref="C132:E132"/>
    <mergeCell ref="C110:E110"/>
    <mergeCell ref="A177:E177"/>
    <mergeCell ref="A41:E41"/>
    <mergeCell ref="C8:E8"/>
    <mergeCell ref="A283:E283"/>
    <mergeCell ref="C17:E17"/>
    <mergeCell ref="C253:E253"/>
    <mergeCell ref="C174:E174"/>
    <mergeCell ref="C149:E149"/>
    <mergeCell ref="A154:E154"/>
    <mergeCell ref="C280:E280"/>
    <mergeCell ref="C66:E66"/>
    <mergeCell ref="C308:E308"/>
    <mergeCell ref="C19:E19"/>
    <mergeCell ref="C189:E189"/>
    <mergeCell ref="A195:E195"/>
    <mergeCell ref="C111:E111"/>
    <mergeCell ref="C68:E68"/>
    <mergeCell ref="C310:E310"/>
    <mergeCell ref="C279:E279"/>
    <mergeCell ref="C288:E288"/>
    <mergeCell ref="C294:E294"/>
    <mergeCell ref="C45:E45"/>
    <mergeCell ref="C290:E290"/>
    <mergeCell ref="C152:E152"/>
    <mergeCell ref="C109:E109"/>
    <mergeCell ref="C47:E47"/>
  </mergeCells>
  <dataValidations count="20">
    <dataValidation sqref="C9" showDropDown="0" showInputMessage="0" showErrorMessage="0" allowBlank="1" type="list">
      <formula1>"Primarily Commercial,Primarily Residential,Mix of Commercial and Residential,New to Real Estate,Building My Commercial Business,Other"</formula1>
    </dataValidation>
    <dataValidation sqref="C11" showDropDown="0" showInputMessage="0" showErrorMessage="0" allowBlank="1" type="list">
      <formula1>"Yes,No,Transitioning toward it"</formula1>
    </dataValidation>
    <dataValidation sqref="C20" showDropDown="0" showInputMessage="0" showErrorMessage="0" allowBlank="1" type="list">
      <formula1>"Yes,Somewhat,No"</formula1>
    </dataValidation>
    <dataValidation sqref="C23:C29" showDropDown="0" showInputMessage="0" showErrorMessage="0" allowBlank="1" type="list">
      <formula1>"Yes,No"</formula1>
    </dataValidation>
    <dataValidation sqref="C73" showDropDown="0" showInputMessage="0" showErrorMessage="0" allowBlank="1" type="list">
      <formula1>"Almost always,Sometimes,Rarely,Never"</formula1>
    </dataValidation>
    <dataValidation sqref="C74" showDropDown="0" showInputMessage="0" showErrorMessage="0" allowBlank="1" type="list">
      <formula1>"Yes,Somewhat,No"</formula1>
    </dataValidation>
    <dataValidation sqref="C75" showDropDown="0" showInputMessage="0" showErrorMessage="0" allowBlank="1" type="list">
      <formula1>"Yes,Sometimes,No"</formula1>
    </dataValidation>
    <dataValidation sqref="C86:C108" showDropDown="0" showInputMessage="0" showErrorMessage="0" allowBlank="1" type="list">
      <formula1>"0,1,2,3,4,5"</formula1>
    </dataValidation>
    <dataValidation sqref="D86:D108" showDropDown="0" showInputMessage="0" showErrorMessage="0" allowBlank="1" type="list">
      <formula1>"Yes,No"</formula1>
    </dataValidation>
    <dataValidation sqref="C116" showDropDown="0" showInputMessage="0" showErrorMessage="0" allowBlank="1" type="list">
      <formula1>"Very few,Some,Most,Nearly all,Unsure"</formula1>
    </dataValidation>
    <dataValidation sqref="C118:C129" showDropDown="0" showInputMessage="0" showErrorMessage="0" allowBlank="1" type="list">
      <formula1>"Yes,No"</formula1>
    </dataValidation>
    <dataValidation sqref="C136:C148" showDropDown="0" showInputMessage="0" showErrorMessage="0" allowBlank="1" type="list">
      <formula1>"Yes,No"</formula1>
    </dataValidation>
    <dataValidation sqref="C150" showDropDown="0" showInputMessage="0" showErrorMessage="0" allowBlank="1" type="list">
      <formula1>"Weekly,Monthly,Quarterly,Occasionally,Almost never"</formula1>
    </dataValidation>
    <dataValidation sqref="C155" showDropDown="0" showInputMessage="0" showErrorMessage="0" allowBlank="1" type="list">
      <formula1>"Yes,Somewhat,No,Still determining it"</formula1>
    </dataValidation>
    <dataValidation sqref="C156" showDropDown="0" showInputMessage="0" showErrorMessage="0" allowBlank="1" type="list">
      <formula1>"Yes,No"</formula1>
    </dataValidation>
    <dataValidation sqref="C161:C171" showDropDown="0" showInputMessage="0" showErrorMessage="0" allowBlank="1" type="list">
      <formula1>"Yes,No"</formula1>
    </dataValidation>
    <dataValidation sqref="C192" showDropDown="0" showInputMessage="0" showErrorMessage="0" allowBlank="1" type="list">
      <formula1>"Yes,Approximately,No"</formula1>
    </dataValidation>
    <dataValidation sqref="C197:C224" showDropDown="0" showInputMessage="0" showErrorMessage="0" allowBlank="1" type="list">
      <formula1>"1,2,3,4,5"</formula1>
    </dataValidation>
    <dataValidation sqref="C230:C252" showDropDown="0" showInputMessage="0" showErrorMessage="0" allowBlank="1" type="list">
      <formula1>"Yes,No"</formula1>
    </dataValidation>
    <dataValidation sqref="C259:C2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2026-09-26T02:16:19Z</dcterms:created>
  <dcterms:modified xsi:type="dcterms:W3CDTF">2026-09-26T02:16:19Z</dcterms:modified>
</cp:coreProperties>
</file>