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Gabrielle Gillie Scorecard" sheetId="4" state="visible" r:id="rId4"/>
    <sheet name="Gabrielle Gillie Assessment" sheetId="5" state="visible" r:id="rId5"/>
    <sheet name="Dillon Scorecard" sheetId="6" state="visible" r:id="rId6"/>
    <sheet name="Dillon Assessment" sheetId="7" state="visible" r:id="rId7"/>
    <sheet name="Marcus Lominick Scorecard" sheetId="8" state="visible" r:id="rId8"/>
    <sheet name="Marcus Lominick Assessment" sheetId="9" state="visible" r:id="rId9"/>
    <sheet name="Mary Elizabeth Young Scorecard" sheetId="10" state="visible" r:id="rId10"/>
    <sheet name="Mary Elizabeth Young Assessment" sheetId="11" state="visible" r:id="rId11"/>
    <sheet name="Jayan Abraham Scorecard" sheetId="12" state="visible" r:id="rId12"/>
    <sheet name="Jayan Abraham Assessment" sheetId="13" state="visible" r:id="rId13"/>
    <sheet name="Agent 6 Scorecard" sheetId="14" state="visible" r:id="rId14"/>
    <sheet name="Agent 6 Assessment" sheetId="15" state="visible" r:id="rId15"/>
    <sheet name="Agent 7 Scorecard" sheetId="16" state="visible" r:id="rId16"/>
    <sheet name="Agent 7 Assessment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"/>
    <numFmt numFmtId="166" formatCode="yyyy-mm-dd"/>
    <numFmt numFmtId="167" formatCode="mmm d, yyyy"/>
    <numFmt numFmtId="168" formatCode="mmm d, h:mm am/pm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b val="1"/>
      <sz val="10"/>
    </font>
    <font>
      <name val="Arial"/>
      <sz val="10"/>
    </font>
    <font>
      <name val="Arial"/>
      <i val="1"/>
      <color rgb="006B7280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BEA"/>
      </patternFill>
    </fill>
    <fill>
      <patternFill patternType="solid">
        <fgColor rgb="00F3F4F6"/>
      </patternFill>
    </fill>
    <fill>
      <patternFill patternType="solid">
        <fgColor rgb="00EEF2F7"/>
      </patternFill>
    </fill>
    <fill>
      <patternFill patternType="solid">
        <fgColor rgb="00C9A227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 indent="1"/>
    </xf>
    <xf numFmtId="167" fontId="3" fillId="3" borderId="1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inden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center" indent="1"/>
    </xf>
    <xf numFmtId="9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8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3" fillId="6" borderId="0" pivotButton="0" quotePrefix="0" xfId="0"/>
    <xf numFmtId="0" fontId="3" fillId="6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4" borderId="1" pivotButton="0" quotePrefix="0" xfId="0"/>
    <xf numFmtId="0" fontId="6" fillId="6" borderId="0" applyAlignment="1" pivotButton="0" quotePrefix="0" xfId="0">
      <alignment vertical="center" indent="1"/>
    </xf>
    <xf numFmtId="0" fontId="0" fillId="0" borderId="4" pivotButton="0" quotePrefix="0" xfId="0"/>
    <xf numFmtId="1" fontId="0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indent="1"/>
    </xf>
    <xf numFmtId="0" fontId="0" fillId="0" borderId="1" applyAlignment="1" pivotButton="0" quotePrefix="0" xfId="0">
      <alignment indent="1"/>
    </xf>
    <xf numFmtId="167" fontId="3" fillId="5" borderId="1" pivotButton="0" quotePrefix="0" xfId="0"/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8" fontId="5" fillId="4" borderId="1" pivotButton="0" quotePrefix="0" xfId="0"/>
    <xf numFmtId="0" fontId="3" fillId="0" borderId="0" applyAlignment="1" pivotButton="0" quotePrefix="0" xfId="0">
      <alignment horizontal="right"/>
    </xf>
    <xf numFmtId="9" fontId="2" fillId="5" borderId="0" pivotButton="0" quotePrefix="0" xfId="0"/>
    <xf numFmtId="0" fontId="6" fillId="2" borderId="0" applyAlignment="1" pivotButton="0" quotePrefix="0" xfId="0">
      <alignment vertical="center" inden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applyAlignment="1" pivotButton="0" quotePrefix="0" xfId="0">
      <alignment wrapText="1" indent="1"/>
    </xf>
    <xf numFmtId="0" fontId="6" fillId="6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5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9" fontId="0" fillId="4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vertical="top" wrapText="1"/>
    </xf>
    <xf numFmtId="9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991B1B"/>
      </font>
      <fill>
        <patternFill patternType="solid">
          <fgColor rgb="00FEE2E2"/>
        </patternFill>
      </fill>
    </dxf>
    <dxf>
      <font>
        <color rgb="00065F46"/>
      </font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border>
        <top style="medium">
          <color rgb="00C9A227"/>
        </top>
        <bottom style="medium">
          <color rgb="00C9A227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40" customWidth="1" min="3" max="3"/>
  </cols>
  <sheetData>
    <row r="1" ht="34" customHeight="1">
      <c r="A1" s="1" t="inlineStr">
        <is>
          <t>THE PRAEDIUM GROUP — Agent Score Card</t>
        </is>
      </c>
    </row>
    <row r="3">
      <c r="A3" s="2" t="inlineStr">
        <is>
          <t>HOW THIS WORKS</t>
        </is>
      </c>
    </row>
    <row r="4" ht="30" customHeight="1">
      <c r="A4" s="3" t="inlineStr">
        <is>
          <t>1.</t>
        </is>
      </c>
      <c r="B4" s="4" t="inlineStr">
        <is>
          <t>You have two tabs with your name on them: your Weekly Scorecard and your one-time Assessment.</t>
        </is>
      </c>
    </row>
    <row r="5" ht="30" customHeight="1">
      <c r="A5" s="3" t="inlineStr">
        <is>
          <t>2.</t>
        </is>
      </c>
      <c r="B5" s="4" t="inlineStr">
        <is>
          <t>Complete your Assessment first (target: before our next meeting). Estimates are fine — there are no “right” answers. Your Q4 goals in Section 13 drive the progress tracker on your Scorecard.</t>
        </is>
      </c>
    </row>
    <row r="6" ht="30" customHeight="1">
      <c r="A6" s="3" t="inlineStr">
        <is>
          <t>3.</t>
        </is>
      </c>
      <c r="B6" s="4" t="inlineStr">
        <is>
          <t>Every week, fill in your row on your Scorecard by Friday end of day. It takes about 5 minutes.</t>
        </is>
      </c>
    </row>
    <row r="7" ht="30" customHeight="1">
      <c r="A7" s="3" t="inlineStr">
        <is>
          <t>4.</t>
        </is>
      </c>
      <c r="B7" s="4" t="inlineStr">
        <is>
          <t>You'll get an email reminder each Friday with a direct link to your tab. If last week is still blank on Monday, you'll get a gentle nudge.</t>
        </is>
      </c>
    </row>
    <row r="8" ht="30" customHeight="1">
      <c r="A8" s="3" t="inlineStr">
        <is>
          <t>5.</t>
        </is>
      </c>
      <c r="B8" s="4" t="inlineStr">
        <is>
          <t>Only yellow cells are for you. Gray/blue cells calculate automatically. You can only edit your own tabs.</t>
        </is>
      </c>
    </row>
    <row r="9">
      <c r="A9" s="3" t="inlineStr"/>
      <c r="B9" s="4" t="n"/>
    </row>
    <row r="10">
      <c r="A10" s="2" t="inlineStr">
        <is>
          <t>WHAT TO TRACK EACH WEEK</t>
        </is>
      </c>
    </row>
    <row r="11">
      <c r="A11" s="3" t="inlineStr">
        <is>
          <t>Calls / Outreach</t>
        </is>
      </c>
      <c r="B11" s="4" t="inlineStr">
        <is>
          <t>Every dial, email, text, or door knock aimed at a prospect (owner, tenant, investor).</t>
        </is>
      </c>
    </row>
    <row r="12">
      <c r="A12" s="3" t="inlineStr">
        <is>
          <t>DM Conversations</t>
        </is>
      </c>
      <c r="B12" s="4" t="inlineStr">
        <is>
          <t>Real conversations with a decision maker — not voicemails or gatekeepers.</t>
        </is>
      </c>
    </row>
    <row r="13">
      <c r="A13" s="3" t="inlineStr">
        <is>
          <t>Meetings</t>
        </is>
      </c>
      <c r="B13" s="4" t="inlineStr">
        <is>
          <t>Discovery, listing, buyer/tenant, or prospect meetings held (in person or video).</t>
        </is>
      </c>
    </row>
    <row r="14">
      <c r="A14" s="3" t="inlineStr">
        <is>
          <t>New Opportunities</t>
        </is>
      </c>
      <c r="B14" s="4" t="inlineStr">
        <is>
          <t>A qualified prospect with a real need, timeline, and next step.</t>
        </is>
      </c>
    </row>
    <row r="15">
      <c r="A15" s="3" t="inlineStr">
        <is>
          <t>MC Conversations</t>
        </is>
      </c>
      <c r="B15" s="4" t="inlineStr">
        <is>
          <t>Meaningful conversations with agents in your KW Market Center about commercial.</t>
        </is>
      </c>
    </row>
    <row r="16">
      <c r="A16" s="3" t="inlineStr">
        <is>
          <t>Sphere Touches</t>
        </is>
      </c>
      <c r="B16" s="4" t="inlineStr">
        <is>
          <t>Intentional contacts with attorneys, CPAs, lenders, developers, past clients, etc.</t>
        </is>
      </c>
    </row>
    <row r="17">
      <c r="A17" s="3" t="inlineStr">
        <is>
          <t>Pipeline GCI</t>
        </is>
      </c>
      <c r="B17" s="4" t="inlineStr">
        <is>
          <t>Your best estimate of total potential GCI in your active pipeline at week's end.</t>
        </is>
      </c>
    </row>
    <row r="18">
      <c r="A18" s="3" t="inlineStr"/>
      <c r="B18" s="4" t="n"/>
    </row>
    <row r="19">
      <c r="A19" s="3" t="inlineStr">
        <is>
          <t>QUESTIONS?</t>
        </is>
      </c>
      <c r="B19" s="4" t="inlineStr">
        <is>
          <t>Reach out any time — this is a tool to help you grow, not a report card.</t>
        </is>
      </c>
    </row>
  </sheetData>
  <mergeCells count="16">
    <mergeCell ref="B13:C13"/>
    <mergeCell ref="B6:C6"/>
    <mergeCell ref="B16:C16"/>
    <mergeCell ref="B15:C15"/>
    <mergeCell ref="B7:C7"/>
    <mergeCell ref="A1:C1"/>
    <mergeCell ref="B11:C11"/>
    <mergeCell ref="B5:C5"/>
    <mergeCell ref="B19:C19"/>
    <mergeCell ref="B14:C14"/>
    <mergeCell ref="B17:C17"/>
    <mergeCell ref="B9:C9"/>
    <mergeCell ref="B8:C8"/>
    <mergeCell ref="B4:C4"/>
    <mergeCell ref="B18:C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W1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9" customWidth="1" min="4" max="4"/>
    <col width="10" customWidth="1" min="5" max="5"/>
    <col width="10" customWidth="1" min="6" max="6"/>
    <col width="11" customWidth="1" min="7" max="7"/>
    <col width="9" customWidth="1" min="8" max="8"/>
    <col width="9" customWidth="1" min="9" max="9"/>
    <col width="10" customWidth="1" min="10" max="10"/>
    <col width="10" customWidth="1" min="11" max="11"/>
    <col width="9" customWidth="1" min="12" max="12"/>
    <col width="13" customWidth="1" min="13" max="13"/>
    <col width="12" customWidth="1" min="14" max="14"/>
    <col width="12" customWidth="1" min="15" max="15"/>
    <col width="9" customWidth="1" min="16" max="16"/>
    <col width="9" customWidth="1" min="17" max="17"/>
    <col width="10" customWidth="1" min="18" max="18"/>
    <col width="11" customWidth="1" min="19" max="19"/>
    <col width="10" customWidth="1" min="20" max="20"/>
    <col width="16" customWidth="1" min="21" max="21"/>
    <col width="34" customWidth="1" min="22" max="22"/>
    <col width="34" customWidth="1" min="23" max="23"/>
  </cols>
  <sheetData>
    <row r="1" ht="34" customHeight="1">
      <c r="A1" s="1" t="inlineStr">
        <is>
          <t>Team Dashboard — Agent Score Card</t>
        </is>
      </c>
    </row>
    <row r="2" ht="30" customHeight="1">
      <c r="A2" s="5" t="inlineStr">
        <is>
          <t>Owner view. Change the “Week of” date to look at any week (defaults to the current week). Everything on this tab is calculated — agents update their own Scorecard tabs.</t>
        </is>
      </c>
    </row>
    <row r="3">
      <c r="A3" s="3" t="inlineStr">
        <is>
          <t>Week of:</t>
        </is>
      </c>
      <c r="B3" s="6">
        <f>TODAY()-WEEKDAY(TODAY(),3)</f>
        <v/>
      </c>
      <c r="C3" s="7" t="inlineStr">
        <is>
          <t>← type any Monday to review a past week</t>
        </is>
      </c>
    </row>
    <row r="5" ht="40" customHeight="1">
      <c r="A5" s="8" t="inlineStr">
        <is>
          <t>Agent</t>
        </is>
      </c>
      <c r="B5" s="8" t="inlineStr">
        <is>
          <t>Assessment Done</t>
        </is>
      </c>
      <c r="C5" s="8" t="inlineStr">
        <is>
          <t>Week Status</t>
        </is>
      </c>
      <c r="D5" s="8" t="inlineStr">
        <is>
          <t>RE Hours</t>
        </is>
      </c>
      <c r="E5" s="8" t="inlineStr">
        <is>
          <t>Prospecting Hrs</t>
        </is>
      </c>
      <c r="F5" s="8" t="inlineStr">
        <is>
          <t>Calls / Outreach</t>
        </is>
      </c>
      <c r="G5" s="8" t="inlineStr">
        <is>
          <t>DM Conversations</t>
        </is>
      </c>
      <c r="H5" s="8" t="inlineStr">
        <is>
          <t>Meetings</t>
        </is>
      </c>
      <c r="I5" s="8" t="inlineStr">
        <is>
          <t>New Opps</t>
        </is>
      </c>
      <c r="J5" s="8" t="inlineStr">
        <is>
          <t>New DB Contacts</t>
        </is>
      </c>
      <c r="K5" s="8" t="inlineStr">
        <is>
          <t>Follow-Ups Open</t>
        </is>
      </c>
      <c r="L5" s="8" t="inlineStr">
        <is>
          <t>MC Convos</t>
        </is>
      </c>
      <c r="M5" s="8" t="inlineStr">
        <is>
          <t>Pipeline GCI (latest)</t>
        </is>
      </c>
      <c r="N5" s="8" t="inlineStr">
        <is>
          <t>Q4 GCI Closed</t>
        </is>
      </c>
      <c r="O5" s="8" t="inlineStr">
        <is>
          <t>Q4 GCI Goal</t>
        </is>
      </c>
      <c r="P5" s="8" t="inlineStr">
        <is>
          <t>Q4 GCI %</t>
        </is>
      </c>
      <c r="Q5" s="8" t="inlineStr">
        <is>
          <t>Q4 Closings</t>
        </is>
      </c>
      <c r="R5" s="8" t="inlineStr">
        <is>
          <t>Q4 Closing Goal</t>
        </is>
      </c>
      <c r="S5" s="8" t="inlineStr">
        <is>
          <t>Weekly Consistency</t>
        </is>
      </c>
      <c r="T5" s="8" t="inlineStr">
        <is>
          <t>Avg Calls / Wk</t>
        </is>
      </c>
      <c r="U5" s="8" t="inlineStr">
        <is>
          <t>Last Updated</t>
        </is>
      </c>
      <c r="V5" s="8" t="inlineStr">
        <is>
          <t>Win of the Week</t>
        </is>
      </c>
      <c r="W5" s="8" t="inlineStr">
        <is>
          <t>Biggest Obstacle</t>
        </is>
      </c>
    </row>
    <row r="6" ht="36" customHeight="1">
      <c r="A6" s="9">
        <f>IF('Settings'!B14="","Agent 1",'Settings'!B14)</f>
        <v/>
      </c>
      <c r="B6" s="10">
        <f>'Gabrielle Gillie Assessment'!C3</f>
        <v/>
      </c>
      <c r="C6" s="11">
        <f>IFERROR(INDEX('Gabrielle Gillie Scorecard'!$Z$15:$Z$80,MATCH($B$3,'Gabrielle Gillie Scorecard'!$A$15:$A$80,0)),"")</f>
        <v/>
      </c>
      <c r="D6" s="11">
        <f>IFERROR(INDEX('Gabrielle Gillie Scorecard'!$C$15:$C$80,MATCH($B$3,'Gabrielle Gillie Scorecard'!$A$15:$A$80,0)),"")</f>
        <v/>
      </c>
      <c r="E6" s="11">
        <f>IFERROR(INDEX('Gabrielle Gillie Scorecard'!$E$15:$E$80,MATCH($B$3,'Gabrielle Gillie Scorecard'!$A$15:$A$80,0)),"")</f>
        <v/>
      </c>
      <c r="F6" s="11">
        <f>IFERROR(INDEX('Gabrielle Gillie Scorecard'!$F$15:$F$80,MATCH($B$3,'Gabrielle Gillie Scorecard'!$A$15:$A$80,0)),"")</f>
        <v/>
      </c>
      <c r="G6" s="11">
        <f>IFERROR(INDEX('Gabrielle Gillie Scorecard'!$G$15:$G$80,MATCH($B$3,'Gabrielle Gillie Scorecard'!$A$15:$A$80,0)),"")</f>
        <v/>
      </c>
      <c r="H6" s="11">
        <f>IFERROR(INDEX('Gabrielle Gillie Scorecard'!$H$15:$H$80,MATCH($B$3,'Gabrielle Gillie Scorecard'!$A$15:$A$80,0)),"")</f>
        <v/>
      </c>
      <c r="I6" s="11">
        <f>IFERROR(INDEX('Gabrielle Gillie Scorecard'!$I$15:$I$80,MATCH($B$3,'Gabrielle Gillie Scorecard'!$A$15:$A$80,0)),"")</f>
        <v/>
      </c>
      <c r="J6" s="11">
        <f>IFERROR(INDEX('Gabrielle Gillie Scorecard'!$J$15:$J$80,MATCH($B$3,'Gabrielle Gillie Scorecard'!$A$15:$A$80,0)),"")</f>
        <v/>
      </c>
      <c r="K6" s="11">
        <f>IFERROR(INDEX('Gabrielle Gillie Scorecard'!$K$15:$K$80,MATCH($B$3,'Gabrielle Gillie Scorecard'!$A$15:$A$80,0)),"")</f>
        <v/>
      </c>
      <c r="L6" s="11">
        <f>IFERROR(INDEX('Gabrielle Gillie Scorecard'!$L$15:$L$80,MATCH($B$3,'Gabrielle Gillie Scorecard'!$A$15:$A$80,0)),"")</f>
        <v/>
      </c>
      <c r="M6" s="12">
        <f>'Gabrielle Gillie Scorecard'!K10</f>
        <v/>
      </c>
      <c r="N6" s="12">
        <f>'Gabrielle Gillie Scorecard'!D6</f>
        <v/>
      </c>
      <c r="O6" s="12">
        <f>'Gabrielle Gillie Scorecard'!C6</f>
        <v/>
      </c>
      <c r="P6" s="10">
        <f>'Gabrielle Gillie Scorecard'!E6</f>
        <v/>
      </c>
      <c r="Q6" s="11">
        <f>'Gabrielle Gillie Scorecard'!D8</f>
        <v/>
      </c>
      <c r="R6" s="11">
        <f>'Gabrielle Gillie Scorecard'!C8</f>
        <v/>
      </c>
      <c r="S6" s="10">
        <f>'Gabrielle Gillie Scorecard'!K7</f>
        <v/>
      </c>
      <c r="T6" s="13">
        <f>'Gabrielle Gillie Scorecard'!K8</f>
        <v/>
      </c>
      <c r="U6" s="14">
        <f>IF(MAX('Gabrielle Gillie Scorecard'!$Y$15:$Y$80)=0,"",MAX('Gabrielle Gillie Scorecard'!$Y$15:$Y$80))</f>
        <v/>
      </c>
      <c r="V6" s="15">
        <f>IFERROR(INDEX('Gabrielle Gillie Scorecard'!$V$15:$V$80,MATCH($B$3,'Gabrielle Gillie Scorecard'!$A$15:$A$80,0)),"")</f>
        <v/>
      </c>
      <c r="W6" s="15">
        <f>IFERROR(INDEX('Gabrielle Gillie Scorecard'!$W$15:$W$80,MATCH($B$3,'Gabrielle Gillie Scorecard'!$A$15:$A$80,0)),"")</f>
        <v/>
      </c>
    </row>
    <row r="7" ht="36" customHeight="1">
      <c r="A7" s="16">
        <f>IF('Settings'!B15="","Agent 2",'Settings'!B15)</f>
        <v/>
      </c>
      <c r="B7" s="17">
        <f>'Dillon Assessment'!C3</f>
        <v/>
      </c>
      <c r="C7" s="18">
        <f>IFERROR(INDEX('Dillon Scorecard'!$Z$15:$Z$80,MATCH($B$3,'Dillon Scorecard'!$A$15:$A$80,0)),"")</f>
        <v/>
      </c>
      <c r="D7" s="18">
        <f>IFERROR(INDEX('Dillon Scorecard'!$C$15:$C$80,MATCH($B$3,'Dillon Scorecard'!$A$15:$A$80,0)),"")</f>
        <v/>
      </c>
      <c r="E7" s="18">
        <f>IFERROR(INDEX('Dillon Scorecard'!$E$15:$E$80,MATCH($B$3,'Dillon Scorecard'!$A$15:$A$80,0)),"")</f>
        <v/>
      </c>
      <c r="F7" s="18">
        <f>IFERROR(INDEX('Dillon Scorecard'!$F$15:$F$80,MATCH($B$3,'Dillon Scorecard'!$A$15:$A$80,0)),"")</f>
        <v/>
      </c>
      <c r="G7" s="18">
        <f>IFERROR(INDEX('Dillon Scorecard'!$G$15:$G$80,MATCH($B$3,'Dillon Scorecard'!$A$15:$A$80,0)),"")</f>
        <v/>
      </c>
      <c r="H7" s="18">
        <f>IFERROR(INDEX('Dillon Scorecard'!$H$15:$H$80,MATCH($B$3,'Dillon Scorecard'!$A$15:$A$80,0)),"")</f>
        <v/>
      </c>
      <c r="I7" s="18">
        <f>IFERROR(INDEX('Dillon Scorecard'!$I$15:$I$80,MATCH($B$3,'Dillon Scorecard'!$A$15:$A$80,0)),"")</f>
        <v/>
      </c>
      <c r="J7" s="18">
        <f>IFERROR(INDEX('Dillon Scorecard'!$J$15:$J$80,MATCH($B$3,'Dillon Scorecard'!$A$15:$A$80,0)),"")</f>
        <v/>
      </c>
      <c r="K7" s="18">
        <f>IFERROR(INDEX('Dillon Scorecard'!$K$15:$K$80,MATCH($B$3,'Dillon Scorecard'!$A$15:$A$80,0)),"")</f>
        <v/>
      </c>
      <c r="L7" s="18">
        <f>IFERROR(INDEX('Dillon Scorecard'!$L$15:$L$80,MATCH($B$3,'Dillon Scorecard'!$A$15:$A$80,0)),"")</f>
        <v/>
      </c>
      <c r="M7" s="19">
        <f>'Dillon Scorecard'!K10</f>
        <v/>
      </c>
      <c r="N7" s="19">
        <f>'Dillon Scorecard'!D6</f>
        <v/>
      </c>
      <c r="O7" s="19">
        <f>'Dillon Scorecard'!C6</f>
        <v/>
      </c>
      <c r="P7" s="17">
        <f>'Dillon Scorecard'!E6</f>
        <v/>
      </c>
      <c r="Q7" s="18">
        <f>'Dillon Scorecard'!D8</f>
        <v/>
      </c>
      <c r="R7" s="18">
        <f>'Dillon Scorecard'!C8</f>
        <v/>
      </c>
      <c r="S7" s="17">
        <f>'Dillon Scorecard'!K7</f>
        <v/>
      </c>
      <c r="T7" s="20">
        <f>'Dillon Scorecard'!K8</f>
        <v/>
      </c>
      <c r="U7" s="21">
        <f>IF(MAX('Dillon Scorecard'!$Y$15:$Y$80)=0,"",MAX('Dillon Scorecard'!$Y$15:$Y$80))</f>
        <v/>
      </c>
      <c r="V7" s="22">
        <f>IFERROR(INDEX('Dillon Scorecard'!$V$15:$V$80,MATCH($B$3,'Dillon Scorecard'!$A$15:$A$80,0)),"")</f>
        <v/>
      </c>
      <c r="W7" s="22">
        <f>IFERROR(INDEX('Dillon Scorecard'!$W$15:$W$80,MATCH($B$3,'Dillon Scorecard'!$A$15:$A$80,0)),"")</f>
        <v/>
      </c>
    </row>
    <row r="8" ht="36" customHeight="1">
      <c r="A8" s="9">
        <f>IF('Settings'!B16="","Agent 3",'Settings'!B16)</f>
        <v/>
      </c>
      <c r="B8" s="10">
        <f>'Marcus Lominick Assessment'!C3</f>
        <v/>
      </c>
      <c r="C8" s="11">
        <f>IFERROR(INDEX('Marcus Lominick Scorecard'!$Z$15:$Z$80,MATCH($B$3,'Marcus Lominick Scorecard'!$A$15:$A$80,0)),"")</f>
        <v/>
      </c>
      <c r="D8" s="11">
        <f>IFERROR(INDEX('Marcus Lominick Scorecard'!$C$15:$C$80,MATCH($B$3,'Marcus Lominick Scorecard'!$A$15:$A$80,0)),"")</f>
        <v/>
      </c>
      <c r="E8" s="11">
        <f>IFERROR(INDEX('Marcus Lominick Scorecard'!$E$15:$E$80,MATCH($B$3,'Marcus Lominick Scorecard'!$A$15:$A$80,0)),"")</f>
        <v/>
      </c>
      <c r="F8" s="11">
        <f>IFERROR(INDEX('Marcus Lominick Scorecard'!$F$15:$F$80,MATCH($B$3,'Marcus Lominick Scorecard'!$A$15:$A$80,0)),"")</f>
        <v/>
      </c>
      <c r="G8" s="11">
        <f>IFERROR(INDEX('Marcus Lominick Scorecard'!$G$15:$G$80,MATCH($B$3,'Marcus Lominick Scorecard'!$A$15:$A$80,0)),"")</f>
        <v/>
      </c>
      <c r="H8" s="11">
        <f>IFERROR(INDEX('Marcus Lominick Scorecard'!$H$15:$H$80,MATCH($B$3,'Marcus Lominick Scorecard'!$A$15:$A$80,0)),"")</f>
        <v/>
      </c>
      <c r="I8" s="11">
        <f>IFERROR(INDEX('Marcus Lominick Scorecard'!$I$15:$I$80,MATCH($B$3,'Marcus Lominick Scorecard'!$A$15:$A$80,0)),"")</f>
        <v/>
      </c>
      <c r="J8" s="11">
        <f>IFERROR(INDEX('Marcus Lominick Scorecard'!$J$15:$J$80,MATCH($B$3,'Marcus Lominick Scorecard'!$A$15:$A$80,0)),"")</f>
        <v/>
      </c>
      <c r="K8" s="11">
        <f>IFERROR(INDEX('Marcus Lominick Scorecard'!$K$15:$K$80,MATCH($B$3,'Marcus Lominick Scorecard'!$A$15:$A$80,0)),"")</f>
        <v/>
      </c>
      <c r="L8" s="11">
        <f>IFERROR(INDEX('Marcus Lominick Scorecard'!$L$15:$L$80,MATCH($B$3,'Marcus Lominick Scorecard'!$A$15:$A$80,0)),"")</f>
        <v/>
      </c>
      <c r="M8" s="12">
        <f>'Marcus Lominick Scorecard'!K10</f>
        <v/>
      </c>
      <c r="N8" s="12">
        <f>'Marcus Lominick Scorecard'!D6</f>
        <v/>
      </c>
      <c r="O8" s="12">
        <f>'Marcus Lominick Scorecard'!C6</f>
        <v/>
      </c>
      <c r="P8" s="10">
        <f>'Marcus Lominick Scorecard'!E6</f>
        <v/>
      </c>
      <c r="Q8" s="11">
        <f>'Marcus Lominick Scorecard'!D8</f>
        <v/>
      </c>
      <c r="R8" s="11">
        <f>'Marcus Lominick Scorecard'!C8</f>
        <v/>
      </c>
      <c r="S8" s="10">
        <f>'Marcus Lominick Scorecard'!K7</f>
        <v/>
      </c>
      <c r="T8" s="13">
        <f>'Marcus Lominick Scorecard'!K8</f>
        <v/>
      </c>
      <c r="U8" s="14">
        <f>IF(MAX('Marcus Lominick Scorecard'!$Y$15:$Y$80)=0,"",MAX('Marcus Lominick Scorecard'!$Y$15:$Y$80))</f>
        <v/>
      </c>
      <c r="V8" s="15">
        <f>IFERROR(INDEX('Marcus Lominick Scorecard'!$V$15:$V$80,MATCH($B$3,'Marcus Lominick Scorecard'!$A$15:$A$80,0)),"")</f>
        <v/>
      </c>
      <c r="W8" s="15">
        <f>IFERROR(INDEX('Marcus Lominick Scorecard'!$W$15:$W$80,MATCH($B$3,'Marcus Lominick Scorecard'!$A$15:$A$80,0)),"")</f>
        <v/>
      </c>
    </row>
    <row r="9" ht="36" customHeight="1">
      <c r="A9" s="16">
        <f>IF('Settings'!B17="","Agent 4",'Settings'!B17)</f>
        <v/>
      </c>
      <c r="B9" s="17">
        <f>'Mary Elizabeth Young Assessment'!C3</f>
        <v/>
      </c>
      <c r="C9" s="18">
        <f>IFERROR(INDEX('Mary Elizabeth Young Scorecard'!$Z$15:$Z$80,MATCH($B$3,'Mary Elizabeth Young Scorecard'!$A$15:$A$80,0)),"")</f>
        <v/>
      </c>
      <c r="D9" s="18">
        <f>IFERROR(INDEX('Mary Elizabeth Young Scorecard'!$C$15:$C$80,MATCH($B$3,'Mary Elizabeth Young Scorecard'!$A$15:$A$80,0)),"")</f>
        <v/>
      </c>
      <c r="E9" s="18">
        <f>IFERROR(INDEX('Mary Elizabeth Young Scorecard'!$E$15:$E$80,MATCH($B$3,'Mary Elizabeth Young Scorecard'!$A$15:$A$80,0)),"")</f>
        <v/>
      </c>
      <c r="F9" s="18">
        <f>IFERROR(INDEX('Mary Elizabeth Young Scorecard'!$F$15:$F$80,MATCH($B$3,'Mary Elizabeth Young Scorecard'!$A$15:$A$80,0)),"")</f>
        <v/>
      </c>
      <c r="G9" s="18">
        <f>IFERROR(INDEX('Mary Elizabeth Young Scorecard'!$G$15:$G$80,MATCH($B$3,'Mary Elizabeth Young Scorecard'!$A$15:$A$80,0)),"")</f>
        <v/>
      </c>
      <c r="H9" s="18">
        <f>IFERROR(INDEX('Mary Elizabeth Young Scorecard'!$H$15:$H$80,MATCH($B$3,'Mary Elizabeth Young Scorecard'!$A$15:$A$80,0)),"")</f>
        <v/>
      </c>
      <c r="I9" s="18">
        <f>IFERROR(INDEX('Mary Elizabeth Young Scorecard'!$I$15:$I$80,MATCH($B$3,'Mary Elizabeth Young Scorecard'!$A$15:$A$80,0)),"")</f>
        <v/>
      </c>
      <c r="J9" s="18">
        <f>IFERROR(INDEX('Mary Elizabeth Young Scorecard'!$J$15:$J$80,MATCH($B$3,'Mary Elizabeth Young Scorecard'!$A$15:$A$80,0)),"")</f>
        <v/>
      </c>
      <c r="K9" s="18">
        <f>IFERROR(INDEX('Mary Elizabeth Young Scorecard'!$K$15:$K$80,MATCH($B$3,'Mary Elizabeth Young Scorecard'!$A$15:$A$80,0)),"")</f>
        <v/>
      </c>
      <c r="L9" s="18">
        <f>IFERROR(INDEX('Mary Elizabeth Young Scorecard'!$L$15:$L$80,MATCH($B$3,'Mary Elizabeth Young Scorecard'!$A$15:$A$80,0)),"")</f>
        <v/>
      </c>
      <c r="M9" s="19">
        <f>'Mary Elizabeth Young Scorecard'!K10</f>
        <v/>
      </c>
      <c r="N9" s="19">
        <f>'Mary Elizabeth Young Scorecard'!D6</f>
        <v/>
      </c>
      <c r="O9" s="19">
        <f>'Mary Elizabeth Young Scorecard'!C6</f>
        <v/>
      </c>
      <c r="P9" s="17">
        <f>'Mary Elizabeth Young Scorecard'!E6</f>
        <v/>
      </c>
      <c r="Q9" s="18">
        <f>'Mary Elizabeth Young Scorecard'!D8</f>
        <v/>
      </c>
      <c r="R9" s="18">
        <f>'Mary Elizabeth Young Scorecard'!C8</f>
        <v/>
      </c>
      <c r="S9" s="17">
        <f>'Mary Elizabeth Young Scorecard'!K7</f>
        <v/>
      </c>
      <c r="T9" s="20">
        <f>'Mary Elizabeth Young Scorecard'!K8</f>
        <v/>
      </c>
      <c r="U9" s="21">
        <f>IF(MAX('Mary Elizabeth Young Scorecard'!$Y$15:$Y$80)=0,"",MAX('Mary Elizabeth Young Scorecard'!$Y$15:$Y$80))</f>
        <v/>
      </c>
      <c r="V9" s="22">
        <f>IFERROR(INDEX('Mary Elizabeth Young Scorecard'!$V$15:$V$80,MATCH($B$3,'Mary Elizabeth Young Scorecard'!$A$15:$A$80,0)),"")</f>
        <v/>
      </c>
      <c r="W9" s="22">
        <f>IFERROR(INDEX('Mary Elizabeth Young Scorecard'!$W$15:$W$80,MATCH($B$3,'Mary Elizabeth Young Scorecard'!$A$15:$A$80,0)),"")</f>
        <v/>
      </c>
    </row>
    <row r="10" ht="36" customHeight="1">
      <c r="A10" s="9">
        <f>IF('Settings'!B18="","Agent 5",'Settings'!B18)</f>
        <v/>
      </c>
      <c r="B10" s="10">
        <f>'Jayan Abraham Assessment'!C3</f>
        <v/>
      </c>
      <c r="C10" s="11">
        <f>IFERROR(INDEX('Jayan Abraham Scorecard'!$Z$15:$Z$80,MATCH($B$3,'Jayan Abraham Scorecard'!$A$15:$A$80,0)),"")</f>
        <v/>
      </c>
      <c r="D10" s="11">
        <f>IFERROR(INDEX('Jayan Abraham Scorecard'!$C$15:$C$80,MATCH($B$3,'Jayan Abraham Scorecard'!$A$15:$A$80,0)),"")</f>
        <v/>
      </c>
      <c r="E10" s="11">
        <f>IFERROR(INDEX('Jayan Abraham Scorecard'!$E$15:$E$80,MATCH($B$3,'Jayan Abraham Scorecard'!$A$15:$A$80,0)),"")</f>
        <v/>
      </c>
      <c r="F10" s="11">
        <f>IFERROR(INDEX('Jayan Abraham Scorecard'!$F$15:$F$80,MATCH($B$3,'Jayan Abraham Scorecard'!$A$15:$A$80,0)),"")</f>
        <v/>
      </c>
      <c r="G10" s="11">
        <f>IFERROR(INDEX('Jayan Abraham Scorecard'!$G$15:$G$80,MATCH($B$3,'Jayan Abraham Scorecard'!$A$15:$A$80,0)),"")</f>
        <v/>
      </c>
      <c r="H10" s="11">
        <f>IFERROR(INDEX('Jayan Abraham Scorecard'!$H$15:$H$80,MATCH($B$3,'Jayan Abraham Scorecard'!$A$15:$A$80,0)),"")</f>
        <v/>
      </c>
      <c r="I10" s="11">
        <f>IFERROR(INDEX('Jayan Abraham Scorecard'!$I$15:$I$80,MATCH($B$3,'Jayan Abraham Scorecard'!$A$15:$A$80,0)),"")</f>
        <v/>
      </c>
      <c r="J10" s="11">
        <f>IFERROR(INDEX('Jayan Abraham Scorecard'!$J$15:$J$80,MATCH($B$3,'Jayan Abraham Scorecard'!$A$15:$A$80,0)),"")</f>
        <v/>
      </c>
      <c r="K10" s="11">
        <f>IFERROR(INDEX('Jayan Abraham Scorecard'!$K$15:$K$80,MATCH($B$3,'Jayan Abraham Scorecard'!$A$15:$A$80,0)),"")</f>
        <v/>
      </c>
      <c r="L10" s="11">
        <f>IFERROR(INDEX('Jayan Abraham Scorecard'!$L$15:$L$80,MATCH($B$3,'Jayan Abraham Scorecard'!$A$15:$A$80,0)),"")</f>
        <v/>
      </c>
      <c r="M10" s="12">
        <f>'Jayan Abraham Scorecard'!K10</f>
        <v/>
      </c>
      <c r="N10" s="12">
        <f>'Jayan Abraham Scorecard'!D6</f>
        <v/>
      </c>
      <c r="O10" s="12">
        <f>'Jayan Abraham Scorecard'!C6</f>
        <v/>
      </c>
      <c r="P10" s="10">
        <f>'Jayan Abraham Scorecard'!E6</f>
        <v/>
      </c>
      <c r="Q10" s="11">
        <f>'Jayan Abraham Scorecard'!D8</f>
        <v/>
      </c>
      <c r="R10" s="11">
        <f>'Jayan Abraham Scorecard'!C8</f>
        <v/>
      </c>
      <c r="S10" s="10">
        <f>'Jayan Abraham Scorecard'!K7</f>
        <v/>
      </c>
      <c r="T10" s="13">
        <f>'Jayan Abraham Scorecard'!K8</f>
        <v/>
      </c>
      <c r="U10" s="14">
        <f>IF(MAX('Jayan Abraham Scorecard'!$Y$15:$Y$80)=0,"",MAX('Jayan Abraham Scorecard'!$Y$15:$Y$80))</f>
        <v/>
      </c>
      <c r="V10" s="15">
        <f>IFERROR(INDEX('Jayan Abraham Scorecard'!$V$15:$V$80,MATCH($B$3,'Jayan Abraham Scorecard'!$A$15:$A$80,0)),"")</f>
        <v/>
      </c>
      <c r="W10" s="15">
        <f>IFERROR(INDEX('Jayan Abraham Scorecard'!$W$15:$W$80,MATCH($B$3,'Jayan Abraham Scorecard'!$A$15:$A$80,0)),"")</f>
        <v/>
      </c>
    </row>
    <row r="11" ht="36" customHeight="1">
      <c r="A11" s="16">
        <f>IF('Settings'!B19="","Agent 6",'Settings'!B19)</f>
        <v/>
      </c>
      <c r="B11" s="17">
        <f>'Agent 6 Assessment'!C3</f>
        <v/>
      </c>
      <c r="C11" s="18">
        <f>IFERROR(INDEX('Agent 6 Scorecard'!$Z$15:$Z$80,MATCH($B$3,'Agent 6 Scorecard'!$A$15:$A$80,0)),"")</f>
        <v/>
      </c>
      <c r="D11" s="18">
        <f>IFERROR(INDEX('Agent 6 Scorecard'!$C$15:$C$80,MATCH($B$3,'Agent 6 Scorecard'!$A$15:$A$80,0)),"")</f>
        <v/>
      </c>
      <c r="E11" s="18">
        <f>IFERROR(INDEX('Agent 6 Scorecard'!$E$15:$E$80,MATCH($B$3,'Agent 6 Scorecard'!$A$15:$A$80,0)),"")</f>
        <v/>
      </c>
      <c r="F11" s="18">
        <f>IFERROR(INDEX('Agent 6 Scorecard'!$F$15:$F$80,MATCH($B$3,'Agent 6 Scorecard'!$A$15:$A$80,0)),"")</f>
        <v/>
      </c>
      <c r="G11" s="18">
        <f>IFERROR(INDEX('Agent 6 Scorecard'!$G$15:$G$80,MATCH($B$3,'Agent 6 Scorecard'!$A$15:$A$80,0)),"")</f>
        <v/>
      </c>
      <c r="H11" s="18">
        <f>IFERROR(INDEX('Agent 6 Scorecard'!$H$15:$H$80,MATCH($B$3,'Agent 6 Scorecard'!$A$15:$A$80,0)),"")</f>
        <v/>
      </c>
      <c r="I11" s="18">
        <f>IFERROR(INDEX('Agent 6 Scorecard'!$I$15:$I$80,MATCH($B$3,'Agent 6 Scorecard'!$A$15:$A$80,0)),"")</f>
        <v/>
      </c>
      <c r="J11" s="18">
        <f>IFERROR(INDEX('Agent 6 Scorecard'!$J$15:$J$80,MATCH($B$3,'Agent 6 Scorecard'!$A$15:$A$80,0)),"")</f>
        <v/>
      </c>
      <c r="K11" s="18">
        <f>IFERROR(INDEX('Agent 6 Scorecard'!$K$15:$K$80,MATCH($B$3,'Agent 6 Scorecard'!$A$15:$A$80,0)),"")</f>
        <v/>
      </c>
      <c r="L11" s="18">
        <f>IFERROR(INDEX('Agent 6 Scorecard'!$L$15:$L$80,MATCH($B$3,'Agent 6 Scorecard'!$A$15:$A$80,0)),"")</f>
        <v/>
      </c>
      <c r="M11" s="19">
        <f>'Agent 6 Scorecard'!K10</f>
        <v/>
      </c>
      <c r="N11" s="19">
        <f>'Agent 6 Scorecard'!D6</f>
        <v/>
      </c>
      <c r="O11" s="19">
        <f>'Agent 6 Scorecard'!C6</f>
        <v/>
      </c>
      <c r="P11" s="17">
        <f>'Agent 6 Scorecard'!E6</f>
        <v/>
      </c>
      <c r="Q11" s="18">
        <f>'Agent 6 Scorecard'!D8</f>
        <v/>
      </c>
      <c r="R11" s="18">
        <f>'Agent 6 Scorecard'!C8</f>
        <v/>
      </c>
      <c r="S11" s="17">
        <f>'Agent 6 Scorecard'!K7</f>
        <v/>
      </c>
      <c r="T11" s="20">
        <f>'Agent 6 Scorecard'!K8</f>
        <v/>
      </c>
      <c r="U11" s="21">
        <f>IF(MAX('Agent 6 Scorecard'!$Y$15:$Y$80)=0,"",MAX('Agent 6 Scorecard'!$Y$15:$Y$80))</f>
        <v/>
      </c>
      <c r="V11" s="22">
        <f>IFERROR(INDEX('Agent 6 Scorecard'!$V$15:$V$80,MATCH($B$3,'Agent 6 Scorecard'!$A$15:$A$80,0)),"")</f>
        <v/>
      </c>
      <c r="W11" s="22">
        <f>IFERROR(INDEX('Agent 6 Scorecard'!$W$15:$W$80,MATCH($B$3,'Agent 6 Scorecard'!$A$15:$A$80,0)),"")</f>
        <v/>
      </c>
    </row>
    <row r="12" ht="36" customHeight="1">
      <c r="A12" s="9">
        <f>IF('Settings'!B20="","Agent 7",'Settings'!B20)</f>
        <v/>
      </c>
      <c r="B12" s="10">
        <f>'Agent 7 Assessment'!C3</f>
        <v/>
      </c>
      <c r="C12" s="11">
        <f>IFERROR(INDEX('Agent 7 Scorecard'!$Z$15:$Z$80,MATCH($B$3,'Agent 7 Scorecard'!$A$15:$A$80,0)),"")</f>
        <v/>
      </c>
      <c r="D12" s="11">
        <f>IFERROR(INDEX('Agent 7 Scorecard'!$C$15:$C$80,MATCH($B$3,'Agent 7 Scorecard'!$A$15:$A$80,0)),"")</f>
        <v/>
      </c>
      <c r="E12" s="11">
        <f>IFERROR(INDEX('Agent 7 Scorecard'!$E$15:$E$80,MATCH($B$3,'Agent 7 Scorecard'!$A$15:$A$80,0)),"")</f>
        <v/>
      </c>
      <c r="F12" s="11">
        <f>IFERROR(INDEX('Agent 7 Scorecard'!$F$15:$F$80,MATCH($B$3,'Agent 7 Scorecard'!$A$15:$A$80,0)),"")</f>
        <v/>
      </c>
      <c r="G12" s="11">
        <f>IFERROR(INDEX('Agent 7 Scorecard'!$G$15:$G$80,MATCH($B$3,'Agent 7 Scorecard'!$A$15:$A$80,0)),"")</f>
        <v/>
      </c>
      <c r="H12" s="11">
        <f>IFERROR(INDEX('Agent 7 Scorecard'!$H$15:$H$80,MATCH($B$3,'Agent 7 Scorecard'!$A$15:$A$80,0)),"")</f>
        <v/>
      </c>
      <c r="I12" s="11">
        <f>IFERROR(INDEX('Agent 7 Scorecard'!$I$15:$I$80,MATCH($B$3,'Agent 7 Scorecard'!$A$15:$A$80,0)),"")</f>
        <v/>
      </c>
      <c r="J12" s="11">
        <f>IFERROR(INDEX('Agent 7 Scorecard'!$J$15:$J$80,MATCH($B$3,'Agent 7 Scorecard'!$A$15:$A$80,0)),"")</f>
        <v/>
      </c>
      <c r="K12" s="11">
        <f>IFERROR(INDEX('Agent 7 Scorecard'!$K$15:$K$80,MATCH($B$3,'Agent 7 Scorecard'!$A$15:$A$80,0)),"")</f>
        <v/>
      </c>
      <c r="L12" s="11">
        <f>IFERROR(INDEX('Agent 7 Scorecard'!$L$15:$L$80,MATCH($B$3,'Agent 7 Scorecard'!$A$15:$A$80,0)),"")</f>
        <v/>
      </c>
      <c r="M12" s="12">
        <f>'Agent 7 Scorecard'!K10</f>
        <v/>
      </c>
      <c r="N12" s="12">
        <f>'Agent 7 Scorecard'!D6</f>
        <v/>
      </c>
      <c r="O12" s="12">
        <f>'Agent 7 Scorecard'!C6</f>
        <v/>
      </c>
      <c r="P12" s="10">
        <f>'Agent 7 Scorecard'!E6</f>
        <v/>
      </c>
      <c r="Q12" s="11">
        <f>'Agent 7 Scorecard'!D8</f>
        <v/>
      </c>
      <c r="R12" s="11">
        <f>'Agent 7 Scorecard'!C8</f>
        <v/>
      </c>
      <c r="S12" s="10">
        <f>'Agent 7 Scorecard'!K7</f>
        <v/>
      </c>
      <c r="T12" s="13">
        <f>'Agent 7 Scorecard'!K8</f>
        <v/>
      </c>
      <c r="U12" s="14">
        <f>IF(MAX('Agent 7 Scorecard'!$Y$15:$Y$80)=0,"",MAX('Agent 7 Scorecard'!$Y$15:$Y$80))</f>
        <v/>
      </c>
      <c r="V12" s="15">
        <f>IFERROR(INDEX('Agent 7 Scorecard'!$V$15:$V$80,MATCH($B$3,'Agent 7 Scorecard'!$A$15:$A$80,0)),"")</f>
        <v/>
      </c>
      <c r="W12" s="15">
        <f>IFERROR(INDEX('Agent 7 Scorecard'!$W$15:$W$80,MATCH($B$3,'Agent 7 Scorecard'!$A$15:$A$80,0)),"")</f>
        <v/>
      </c>
    </row>
    <row r="13">
      <c r="A13" s="23" t="inlineStr">
        <is>
          <t>TEAM TOTAL</t>
        </is>
      </c>
      <c r="D13" s="24">
        <f>SUM(D6:D12)</f>
        <v/>
      </c>
      <c r="E13" s="24">
        <f>SUM(E6:E12)</f>
        <v/>
      </c>
      <c r="F13" s="24">
        <f>SUM(F6:F12)</f>
        <v/>
      </c>
      <c r="G13" s="24">
        <f>SUM(G6:G12)</f>
        <v/>
      </c>
      <c r="H13" s="24">
        <f>SUM(H6:H12)</f>
        <v/>
      </c>
      <c r="I13" s="24">
        <f>SUM(I6:I12)</f>
        <v/>
      </c>
      <c r="J13" s="24">
        <f>SUM(J6:J12)</f>
        <v/>
      </c>
      <c r="K13" s="24">
        <f>SUM(K6:K12)</f>
        <v/>
      </c>
      <c r="L13" s="24">
        <f>SUM(L6:L12)</f>
        <v/>
      </c>
      <c r="M13" s="25">
        <f>SUM(M6:M12)</f>
        <v/>
      </c>
      <c r="N13" s="25">
        <f>SUM(N6:N12)</f>
        <v/>
      </c>
      <c r="O13" s="25">
        <f>SUM(O6:O12)</f>
        <v/>
      </c>
      <c r="Q13" s="24">
        <f>SUM(Q6:Q12)</f>
        <v/>
      </c>
      <c r="R13" s="24">
        <f>SUM(R6:R12)</f>
        <v/>
      </c>
    </row>
  </sheetData>
  <mergeCells count="2">
    <mergeCell ref="A2:W2"/>
    <mergeCell ref="A1:W1"/>
  </mergeCells>
  <conditionalFormatting sqref="C6:C12">
    <cfRule type="cellIs" priority="1" operator="equal" dxfId="0">
      <formula>"⚠ Missing"</formula>
    </cfRule>
    <cfRule type="cellIs" priority="2" operator="equal" dxfId="1">
      <formula>"✓ Updated"</formula>
    </cfRule>
    <cfRule type="cellIs" priority="3" operator="equal" dxfId="2">
      <formula>"Due Friday"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7280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 ht="34" customHeight="1">
      <c r="A1" s="1" t="inlineStr">
        <is>
          <t>Settings — Score Card Automation</t>
        </is>
      </c>
    </row>
    <row r="2" ht="30" customHeight="1">
      <c r="A2" s="5" t="inlineStr">
        <is>
          <t>Owner-only. Fill in agent names + emails, then use the  Score Card  menu → “Rename tabs from Settings” and “Share &amp; protect”. Email schedule changes take effect after “Install weekly email triggers”.</t>
        </is>
      </c>
    </row>
    <row r="4">
      <c r="A4" s="3" t="inlineStr">
        <is>
          <t>Owner name</t>
        </is>
      </c>
      <c r="C4" s="26" t="inlineStr">
        <is>
          <t>Nicholas Carnes</t>
        </is>
      </c>
    </row>
    <row r="5">
      <c r="A5" s="3" t="inlineStr">
        <is>
          <t>Owner email (weekly team summary goes here)</t>
        </is>
      </c>
      <c r="C5" s="26" t="inlineStr">
        <is>
          <t>ncarnes@kw.com</t>
        </is>
      </c>
    </row>
    <row r="6">
      <c r="A6" s="3" t="inlineStr">
        <is>
          <t>Team name</t>
        </is>
      </c>
      <c r="C6" s="26" t="inlineStr">
        <is>
          <t>The Praedium Group</t>
        </is>
      </c>
    </row>
    <row r="7">
      <c r="A7" s="3" t="inlineStr">
        <is>
          <t>Agent reminder day</t>
        </is>
      </c>
      <c r="C7" s="26" t="inlineStr">
        <is>
          <t>FRIDAY</t>
        </is>
      </c>
    </row>
    <row r="8">
      <c r="A8" s="3" t="inlineStr">
        <is>
          <t>Agent reminder hour (0–23)</t>
        </is>
      </c>
      <c r="C8" s="26" t="n">
        <v>9</v>
      </c>
    </row>
    <row r="9">
      <c r="A9" s="3" t="inlineStr">
        <is>
          <t>Owner summary day</t>
        </is>
      </c>
      <c r="C9" s="26" t="inlineStr">
        <is>
          <t>MONDAY</t>
        </is>
      </c>
    </row>
    <row r="10">
      <c r="A10" s="3" t="inlineStr">
        <is>
          <t>Owner summary hour (0–23)</t>
        </is>
      </c>
      <c r="C10" s="26" t="n">
        <v>7</v>
      </c>
    </row>
    <row r="11">
      <c r="A11" s="3" t="inlineStr">
        <is>
          <t>Send Monday nudge to agents who missed last week?</t>
        </is>
      </c>
      <c r="C11" s="26" t="inlineStr">
        <is>
          <t>Yes</t>
        </is>
      </c>
    </row>
    <row r="13">
      <c r="A13" s="8" t="inlineStr">
        <is>
          <t>#</t>
        </is>
      </c>
      <c r="B13" s="8" t="inlineStr">
        <is>
          <t>Agent Name</t>
        </is>
      </c>
      <c r="C13" s="8" t="inlineStr">
        <is>
          <t>Agent Email</t>
        </is>
      </c>
      <c r="D13" s="8" t="inlineStr">
        <is>
          <t>Scorecard Tab</t>
        </is>
      </c>
      <c r="E13" s="8" t="inlineStr">
        <is>
          <t>Assessment Tab</t>
        </is>
      </c>
      <c r="F13" s="8" t="inlineStr">
        <is>
          <t>Market Center</t>
        </is>
      </c>
    </row>
    <row r="14">
      <c r="A14" s="27" t="n">
        <v>1</v>
      </c>
      <c r="B14" s="28" t="inlineStr">
        <is>
          <t>Gabrielle Gillie</t>
        </is>
      </c>
      <c r="C14" s="28" t="inlineStr">
        <is>
          <t>gabeg@kwcommercial.com</t>
        </is>
      </c>
      <c r="D14" s="29" t="inlineStr">
        <is>
          <t>Gabrielle Gillie Scorecard</t>
        </is>
      </c>
      <c r="E14" s="29" t="inlineStr">
        <is>
          <t>Gabrielle Gillie Assessment</t>
        </is>
      </c>
      <c r="F14" s="28" t="inlineStr"/>
    </row>
    <row r="15">
      <c r="A15" s="27" t="n">
        <v>2</v>
      </c>
      <c r="B15" s="28" t="inlineStr">
        <is>
          <t>Dillon</t>
        </is>
      </c>
      <c r="C15" s="28" t="inlineStr">
        <is>
          <t>dillon2403@gmail.com</t>
        </is>
      </c>
      <c r="D15" s="29" t="inlineStr">
        <is>
          <t>Dillon Scorecard</t>
        </is>
      </c>
      <c r="E15" s="29" t="inlineStr">
        <is>
          <t>Dillon Assessment</t>
        </is>
      </c>
      <c r="F15" s="28" t="inlineStr"/>
    </row>
    <row r="16">
      <c r="A16" s="27" t="n">
        <v>3</v>
      </c>
      <c r="B16" s="28" t="inlineStr">
        <is>
          <t>Marcus Lominick</t>
        </is>
      </c>
      <c r="C16" s="28" t="inlineStr">
        <is>
          <t>mlominick@kwcommercial.com</t>
        </is>
      </c>
      <c r="D16" s="29" t="inlineStr">
        <is>
          <t>Marcus Lominick Scorecard</t>
        </is>
      </c>
      <c r="E16" s="29" t="inlineStr">
        <is>
          <t>Marcus Lominick Assessment</t>
        </is>
      </c>
      <c r="F16" s="28" t="inlineStr"/>
    </row>
    <row r="17">
      <c r="A17" s="27" t="n">
        <v>4</v>
      </c>
      <c r="B17" s="28" t="inlineStr">
        <is>
          <t>Mary Elizabeth Young</t>
        </is>
      </c>
      <c r="C17" s="28" t="inlineStr">
        <is>
          <t>myoung@kwcommercial.com</t>
        </is>
      </c>
      <c r="D17" s="29" t="inlineStr">
        <is>
          <t>Mary Elizabeth Young Scorecard</t>
        </is>
      </c>
      <c r="E17" s="29" t="inlineStr">
        <is>
          <t>Mary Elizabeth Young Assessment</t>
        </is>
      </c>
      <c r="F17" s="28" t="inlineStr"/>
    </row>
    <row r="18">
      <c r="A18" s="27" t="n">
        <v>5</v>
      </c>
      <c r="B18" s="28" t="inlineStr">
        <is>
          <t>Jayan Abraham</t>
        </is>
      </c>
      <c r="C18" s="28" t="inlineStr">
        <is>
          <t>jayanabraham@kw.com</t>
        </is>
      </c>
      <c r="D18" s="29" t="inlineStr">
        <is>
          <t>Jayan Abraham Scorecard</t>
        </is>
      </c>
      <c r="E18" s="29" t="inlineStr">
        <is>
          <t>Jayan Abraham Assessment</t>
        </is>
      </c>
      <c r="F18" s="28" t="inlineStr"/>
    </row>
    <row r="19">
      <c r="A19" s="27" t="n">
        <v>6</v>
      </c>
      <c r="B19" s="28" t="inlineStr"/>
      <c r="C19" s="28" t="inlineStr"/>
      <c r="D19" s="29" t="inlineStr">
        <is>
          <t>Agent 6 Scorecard</t>
        </is>
      </c>
      <c r="E19" s="29" t="inlineStr">
        <is>
          <t>Agent 6 Assessment</t>
        </is>
      </c>
      <c r="F19" s="28" t="inlineStr"/>
    </row>
    <row r="20">
      <c r="A20" s="27" t="n">
        <v>7</v>
      </c>
      <c r="B20" s="28" t="inlineStr"/>
      <c r="C20" s="28" t="inlineStr"/>
      <c r="D20" s="29" t="inlineStr">
        <is>
          <t>Agent 7 Scorecard</t>
        </is>
      </c>
      <c r="E20" s="29" t="inlineStr">
        <is>
          <t>Agent 7 Assessment</t>
        </is>
      </c>
      <c r="F20" s="28" t="inlineStr"/>
    </row>
    <row r="22">
      <c r="A22" s="7" t="inlineStr">
        <is>
          <t>Scorecard/Assessment Tab columns are maintained by the script — don't edit them by hand.</t>
        </is>
      </c>
    </row>
  </sheetData>
  <mergeCells count="10">
    <mergeCell ref="A4:B4"/>
    <mergeCell ref="A2:F2"/>
    <mergeCell ref="A7:B7"/>
    <mergeCell ref="A1:F1"/>
    <mergeCell ref="A11:B11"/>
    <mergeCell ref="A10:B10"/>
    <mergeCell ref="A5:B5"/>
    <mergeCell ref="A9:B9"/>
    <mergeCell ref="A8:B8"/>
    <mergeCell ref="A6:B6"/>
  </mergeCells>
  <dataValidations count="3">
    <dataValidation sqref="C7" showDropDown="0" showInputMessage="0" showErrorMessage="0" allowBlank="1" type="list">
      <formula1>"MONDAY,TUESDAY,WEDNESDAY,THURSDAY,FRIDAY,SATURDAY,SUNDAY"</formula1>
    </dataValidation>
    <dataValidation sqref="C9" showDropDown="0" showInputMessage="0" showErrorMessage="0" allowBlank="1" type="list">
      <formula1>"MONDAY,TUESDAY,WEDNESDAY,THURSDAY,FRIDAY,SATURDAY,SUNDAY"</formula1>
    </dataValidation>
    <dataValidation sqref="C1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IF('Settings'!B14="","Agent 1",'Settings'!B14)&amp;"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IF('Gabrielle Gillie Assessment'!C285="","",'Gabrielle Gillie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IF('Gabrielle Gillie Assessment'!C284="","",'Gabrielle Gillie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IF('Gabrielle Gillie Assessment'!C286="","",'Gabrielle Gillie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IF('Gabrielle Gillie Assessment'!C287="","",'Gabrielle Gillie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IF('Gabrielle Gillie Assessment'!C288="","",'Gabrielle Gillie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IF('Gabrielle Gillie Assessment'!C289="","",'Gabrielle Gillie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'Gabrielle Gillie Assessment'!C3</f>
        <v/>
      </c>
    </row>
    <row r="12">
      <c r="A12" s="33" t="inlineStr">
        <is>
          <t>Meetings (goal = per month × 3)</t>
        </is>
      </c>
      <c r="B12" s="34" t="n"/>
      <c r="C12" s="11">
        <f>IF('Gabrielle Gillie Assessment'!C290="","",'Gabrielle Gillie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IF('Settings'!B14="","Agent 1",'Settings'!B14)&amp;"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IF('Settings'!B15="","Agent 2",'Settings'!B15)&amp;"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IF('Dillon Assessment'!C285="","",'Dillon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IF('Dillon Assessment'!C284="","",'Dillon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IF('Dillon Assessment'!C286="","",'Dillon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IF('Dillon Assessment'!C287="","",'Dillon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IF('Dillon Assessment'!C288="","",'Dillon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IF('Dillon Assessment'!C289="","",'Dillon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'Dillon Assessment'!C3</f>
        <v/>
      </c>
    </row>
    <row r="12">
      <c r="A12" s="33" t="inlineStr">
        <is>
          <t>Meetings (goal = per month × 3)</t>
        </is>
      </c>
      <c r="B12" s="34" t="n"/>
      <c r="C12" s="11">
        <f>IF('Dillon Assessment'!C290="","",'Dillon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IF('Settings'!B15="","Agent 2",'Settings'!B15)&amp;"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IF('Settings'!B16="","Agent 3",'Settings'!B16)&amp;"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IF('Marcus Lominick Assessment'!C285="","",'Marcus Lominick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IF('Marcus Lominick Assessment'!C284="","",'Marcus Lominick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IF('Marcus Lominick Assessment'!C286="","",'Marcus Lominick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IF('Marcus Lominick Assessment'!C287="","",'Marcus Lominick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IF('Marcus Lominick Assessment'!C288="","",'Marcus Lominick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IF('Marcus Lominick Assessment'!C289="","",'Marcus Lominick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'Marcus Lominick Assessment'!C3</f>
        <v/>
      </c>
    </row>
    <row r="12">
      <c r="A12" s="33" t="inlineStr">
        <is>
          <t>Meetings (goal = per month × 3)</t>
        </is>
      </c>
      <c r="B12" s="34" t="n"/>
      <c r="C12" s="11">
        <f>IF('Marcus Lominick Assessment'!C290="","",'Marcus Lominick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IF('Settings'!B16="","Agent 3",'Settings'!B16)&amp;"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IF('Settings'!B17="","Agent 4",'Settings'!B17)&amp;"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IF('Mary Elizabeth Young Assessment'!C285="","",'Mary Elizabeth Young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IF('Mary Elizabeth Young Assessment'!C284="","",'Mary Elizabeth Young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IF('Mary Elizabeth Young Assessment'!C286="","",'Mary Elizabeth Young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IF('Mary Elizabeth Young Assessment'!C287="","",'Mary Elizabeth Young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IF('Mary Elizabeth Young Assessment'!C288="","",'Mary Elizabeth Young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IF('Mary Elizabeth Young Assessment'!C289="","",'Mary Elizabeth Young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'Mary Elizabeth Young Assessment'!C3</f>
        <v/>
      </c>
    </row>
    <row r="12">
      <c r="A12" s="33" t="inlineStr">
        <is>
          <t>Meetings (goal = per month × 3)</t>
        </is>
      </c>
      <c r="B12" s="34" t="n"/>
      <c r="C12" s="11">
        <f>IF('Mary Elizabeth Young Assessment'!C290="","",'Mary Elizabeth Young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IF('Settings'!B17="","Agent 4",'Settings'!B17)&amp;"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IF('Settings'!B18="","Agent 5",'Settings'!B18)&amp;"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IF('Jayan Abraham Assessment'!C285="","",'Jayan Abraham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IF('Jayan Abraham Assessment'!C284="","",'Jayan Abraham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IF('Jayan Abraham Assessment'!C286="","",'Jayan Abraham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IF('Jayan Abraham Assessment'!C287="","",'Jayan Abraham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IF('Jayan Abraham Assessment'!C288="","",'Jayan Abraham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IF('Jayan Abraham Assessment'!C289="","",'Jayan Abraham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'Jayan Abraham Assessment'!C3</f>
        <v/>
      </c>
    </row>
    <row r="12">
      <c r="A12" s="33" t="inlineStr">
        <is>
          <t>Meetings (goal = per month × 3)</t>
        </is>
      </c>
      <c r="B12" s="34" t="n"/>
      <c r="C12" s="11">
        <f>IF('Jayan Abraham Assessment'!C290="","",'Jayan Abraham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IF('Settings'!B18="","Agent 5",'Settings'!B18)&amp;"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IF('Settings'!B19="","Agent 6",'Settings'!B19)&amp;"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IF('Agent 6 Assessment'!C285="","",'Agent 6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IF('Agent 6 Assessment'!C284="","",'Agent 6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IF('Agent 6 Assessment'!C286="","",'Agent 6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IF('Agent 6 Assessment'!C287="","",'Agent 6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IF('Agent 6 Assessment'!C288="","",'Agent 6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IF('Agent 6 Assessment'!C289="","",'Agent 6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'Agent 6 Assessment'!C3</f>
        <v/>
      </c>
    </row>
    <row r="12">
      <c r="A12" s="33" t="inlineStr">
        <is>
          <t>Meetings (goal = per month × 3)</t>
        </is>
      </c>
      <c r="B12" s="34" t="n"/>
      <c r="C12" s="11">
        <f>IF('Agent 6 Assessment'!C290="","",'Agent 6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IF('Settings'!B19="","Agent 6",'Settings'!B19)&amp;"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IF('Settings'!B20="","Agent 7",'Settings'!B20)&amp;"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IF('Agent 7 Assessment'!C285="","",'Agent 7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IF('Agent 7 Assessment'!C284="","",'Agent 7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IF('Agent 7 Assessment'!C286="","",'Agent 7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IF('Agent 7 Assessment'!C287="","",'Agent 7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IF('Agent 7 Assessment'!C288="","",'Agent 7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IF('Agent 7 Assessment'!C289="","",'Agent 7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'Agent 7 Assessment'!C3</f>
        <v/>
      </c>
    </row>
    <row r="12">
      <c r="A12" s="33" t="inlineStr">
        <is>
          <t>Meetings (goal = per month × 3)</t>
        </is>
      </c>
      <c r="B12" s="34" t="n"/>
      <c r="C12" s="11">
        <f>IF('Agent 7 Assessment'!C290="","",'Agent 7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IF('Settings'!B20="","Agent 7",'Settings'!B20)&amp;"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2026-09-26T03:00:17Z</dcterms:created>
  <dcterms:modified xsi:type="dcterms:W3CDTF">2026-09-26T03:00:18Z</dcterms:modified>
</cp:coreProperties>
</file>